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166925"/>
  <xr:revisionPtr revIDLastSave="0" documentId="13_ncr:1_{BC298220-D44C-4EBB-BE62-4D1C1884123C}" xr6:coauthVersionLast="47" xr6:coauthVersionMax="47" xr10:uidLastSave="{00000000-0000-0000-0000-000000000000}"/>
  <bookViews>
    <workbookView xWindow="-18465" yWindow="-1065" windowWidth="14190" windowHeight="11700" tabRatio="927" xr2:uid="{00000000-000D-0000-FFFF-FFFF00000000}"/>
  </bookViews>
  <sheets>
    <sheet name="Início" sheetId="2" r:id="rId1"/>
    <sheet name="Referências" sheetId="23" r:id="rId2"/>
    <sheet name="Noções Básicas" sheetId="19" r:id="rId3"/>
    <sheet name="Introdução às Funções" sheetId="16" r:id="rId4"/>
    <sheet name="MÉDIA" sheetId="1" r:id="rId5"/>
    <sheet name="MÍNIMO E MÁXIMO" sheetId="11" r:id="rId6"/>
    <sheet name="Data e Hora" sheetId="10" r:id="rId7"/>
    <sheet name="Unir texto e números" sheetId="15" r:id="rId8"/>
    <sheet name="Instruções SE" sheetId="13" r:id="rId9"/>
    <sheet name="PROCV" sheetId="9" r:id="rId10"/>
    <sheet name="Funções Condicionais" sheetId="7" r:id="rId11"/>
    <sheet name="Assistente de Funções" sheetId="20" r:id="rId12"/>
    <sheet name="Erros em Fórmulas" sheetId="21" r:id="rId13"/>
    <sheet name="Resumo Funções" sheetId="22" r:id="rId14"/>
    <sheet name="Saiba mais" sheetId="17" r:id="rId15"/>
  </sheets>
  <externalReferences>
    <externalReference r:id="rId16"/>
    <externalReference r:id="rId17"/>
    <externalReference r:id="rId18"/>
    <externalReference r:id="rId19"/>
  </externalReferences>
  <definedNames>
    <definedName name="_xlnm._FilterDatabase" localSheetId="10" hidden="1">'Funções Condicionais'!$F$2:$H$14</definedName>
    <definedName name="_xlnm._FilterDatabase" localSheetId="2" hidden="1">'Noções Básicas'!$P$9:$Q$10</definedName>
    <definedName name="Alunos">#REF!</definedName>
    <definedName name="_xlnm.Print_Area" localSheetId="12">'Erros em Fórmulas'!$A$1:$H$66</definedName>
    <definedName name="_xlnm.Print_Area" localSheetId="10">'Funções Condicionais'!$A$1:$K$159</definedName>
    <definedName name="_xlnm.Print_Area" localSheetId="2">'Noções Básicas'!$A$1:$P$71</definedName>
    <definedName name="Avalia">#REF!</definedName>
    <definedName name="Avaliacao">'[1]Nome de Blocos'!$B$4:$D$10</definedName>
    <definedName name="AvalQuali">#REF!</definedName>
    <definedName name="AvalQuant">#REF!</definedName>
    <definedName name="Bananas">tbl_VariedadeDeFruta6[Bananas]</definedName>
    <definedName name="base_dados">#REF!</definedName>
    <definedName name="Carne" localSheetId="3">'Introdução às Funções'!$F$2:$G$6</definedName>
    <definedName name="CONDIÇÕES">'[2]NOTAS ( BASE DE DADOS )'!$B$26:$J$27</definedName>
    <definedName name="CP">[3]BaseFact!$D$2:$D$65536</definedName>
    <definedName name="d">#REF!</definedName>
    <definedName name="dados_do_operário">#REF!</definedName>
    <definedName name="Divisao" comment="Valor de divisao da média ponderada">#REF!</definedName>
    <definedName name="Envio">1.25</definedName>
    <definedName name="Exame">'[1]Nome de Blocos'!$D$4:$D$10</definedName>
    <definedName name="_xlnm.Extract" localSheetId="10">'Funções Condicionais'!$AB$2</definedName>
    <definedName name="f">'[4]Exercício 14 - Ordenados'!$E$9:$F$13</definedName>
    <definedName name="Fruta" localSheetId="3">'Introdução às Funções'!$C$2:$D$6</definedName>
    <definedName name="g">#REF!</definedName>
    <definedName name="gp">#REF!</definedName>
    <definedName name="grp_ChavetaGuia">"shp_BraceBottom,txt_WalkMeBrace,shp_BraceLeft"</definedName>
    <definedName name="grp_SetasGuia">"shp_ArrowCurved,txt_WalkMeArrows,shp_ArrowStraight"</definedName>
    <definedName name="ImpostoSobreVendas">0.0825</definedName>
    <definedName name="Itens" localSheetId="3">'Introdução às Funções'!$C$9:$D$14</definedName>
    <definedName name="iva">[2]MÉDIAS!$I$9</definedName>
    <definedName name="Laranjas">tbl_VariedadeDeFruta4[Laranjas]</definedName>
    <definedName name="Limões">tbl_VariedadeDeFruta5[Limões]</definedName>
    <definedName name="LISTAGEM">'[2]NOTAS ( BASE DE DADOS )'!$B$33:$J$43</definedName>
    <definedName name="Local">[3]BaseFact!$E$2:$E$65536</definedName>
    <definedName name="lst_Fruta">tbl_Fruta[Fruta]</definedName>
    <definedName name="lst_VariedadeDeFruta">tbl_VariedadeDeFruta[Maçãs]</definedName>
    <definedName name="Maçãs">tbl_VariedadeDeFruta[Maçãs]</definedName>
    <definedName name="MaisFruta" localSheetId="3">'Introdução às Funções'!$C$34:$D$39</definedName>
    <definedName name="MaisItens" localSheetId="3">'Introdução às Funções'!$C$44:$D$48</definedName>
    <definedName name="MARGEM">#REF!</definedName>
    <definedName name="media">#REF!</definedName>
    <definedName name="Morada">[3]BaseFact!$C$2:$C$65536</definedName>
    <definedName name="N__Avião">#REF!</definedName>
    <definedName name="Ncli">[3]BaseFact!$A$2:$A$65536</definedName>
    <definedName name="Nif">[3]BaseFact!$F$2:$F$65536</definedName>
    <definedName name="Número_do_Avião">#REF!</definedName>
    <definedName name="Pesos_Avalia">'[1]Nome de Blocos'!$B$2:$D$2</definedName>
    <definedName name="ponderar" comment="Valor de ponderção do exame">#REF!</definedName>
    <definedName name="PontosExtra" localSheetId="3">'Introdução às Funções'!$F$9:$G$14</definedName>
    <definedName name="regiões">#REF!</definedName>
    <definedName name="sd" hidden="1">{#N/A,"a",TRUE,"Cenários";#N/A,"b",TRUE,"Cenários"}</definedName>
    <definedName name="sdfs" hidden="1">{"vista2",#N/A,FALSE,"Tabela Pivot";#N/A,#N/A,FALSE,"Classificação"}</definedName>
    <definedName name="semestre1" comment="Notas do 1º Semestre">#REF!</definedName>
    <definedName name="Semestre2">#REF!</definedName>
    <definedName name="SOMAPontosExtra" localSheetId="3">'Introdução às Funções'!$F$9:$G$14</definedName>
    <definedName name="TABELA_DE_CODIGOS">#REF!</definedName>
    <definedName name="tabela_de_comissões">#REF!</definedName>
    <definedName name="TABELA_DE_PESQUISA">#REF!</definedName>
    <definedName name="TABELA_DE_PREÇOS">#REF!</definedName>
    <definedName name="Total" localSheetId="3">'Introdução às Funções'!$D$50:$D$51</definedName>
    <definedName name="Total_Pesos">'[1]Nome de Blocos'!$E$2</definedName>
    <definedName name="vu">#REF!</definedName>
    <definedName name="wrn.análise._.de._.empréstimo." hidden="1">{#N/A,"a",TRUE,"Cenários";#N/A,"b",TRUE,"Cenários"}</definedName>
    <definedName name="wrn.r2." hidden="1">{"vista2",#N/A,FALSE,"Tabela Pivot";#N/A,#N/A,FALSE,"Classificação"}</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5" i="23" l="1"/>
  <c r="M5" i="23"/>
  <c r="J28" i="23"/>
  <c r="J29" i="23"/>
  <c r="D12" i="15"/>
  <c r="G57" i="10"/>
  <c r="I6" i="19"/>
  <c r="I7" i="19"/>
  <c r="F7" i="19"/>
  <c r="N4" i="19"/>
  <c r="F3" i="19"/>
  <c r="F6" i="19"/>
  <c r="F5" i="19"/>
  <c r="XFD1048576" i="19"/>
  <c r="O4" i="19"/>
  <c r="F4" i="19"/>
  <c r="D29" i="15"/>
  <c r="E3" i="15"/>
  <c r="C29" i="16"/>
  <c r="F6" i="10" l="1"/>
  <c r="F29" i="13"/>
  <c r="F28" i="13"/>
  <c r="A38" i="7" l="1"/>
  <c r="D10" i="20"/>
  <c r="G7" i="19"/>
  <c r="D9" i="21"/>
  <c r="J43" i="19"/>
  <c r="G6" i="19"/>
  <c r="G5" i="19"/>
  <c r="G4" i="19"/>
  <c r="G3" i="19"/>
  <c r="G43" i="9"/>
  <c r="F3" i="15"/>
  <c r="H64" i="7"/>
  <c r="G15" i="11"/>
  <c r="E31" i="13"/>
  <c r="D36" i="21"/>
  <c r="C33" i="15" l="1"/>
  <c r="C32" i="15"/>
  <c r="F31" i="13"/>
</calcChain>
</file>

<file path=xl/sharedStrings.xml><?xml version="1.0" encoding="utf-8"?>
<sst xmlns="http://schemas.openxmlformats.org/spreadsheetml/2006/main" count="769" uniqueCount="444">
  <si>
    <t>Introdução às fórmulas</t>
  </si>
  <si>
    <t>Em poucos passos, estará pronto para começar a criar fórmulas e funções no Excel, a aplicação de folhas de cálculo mais avançada do mundo.</t>
  </si>
  <si>
    <t>Aceda à parte superior ao premir Ctrl+Home. Para começar a apresentação, prima Ctrl+Page Down.</t>
  </si>
  <si>
    <t>Noções Básicas: matemática com o Excel</t>
  </si>
  <si>
    <t xml:space="preserve">Pode Somar, Subtrair, Multiplicar e Dividir no Excel sem utilizar funções incorporadas. Só precisa de alguns operadores básicos: +, -, *, /. Todas as fórmulas começam com um sinal de igual (=).
</t>
  </si>
  <si>
    <t xml:space="preserve">Para Somar, selecione a célula F3, escreva =C3+C4 e prima Enter. 
</t>
  </si>
  <si>
    <t xml:space="preserve">Para Subtrair, selecione a célula F4, escreva =C3-C4 e prima Enter. </t>
  </si>
  <si>
    <t xml:space="preserve">Para Multiplicar, selecione a célula F5, escreva =C3*C4 e prima Enter.
</t>
  </si>
  <si>
    <t xml:space="preserve">Para Dividir, selecione a célula F6, escreva =C3/C4 e prima Enter.
</t>
  </si>
  <si>
    <t>Experimente: altere os números nas células C3 e C4 e veja como os resultados da fórmula são automaticamente alterados.</t>
  </si>
  <si>
    <t>PONTOS EXTRA: pode elevar um valor à potência com o acento circunflexo (^), por exemplo, =A1^A2. Pode introduzi-lo ao premir Shift+~. Na célula F7, introduza =C3^C4.</t>
  </si>
  <si>
    <t>Desça para ver mais detalhes</t>
  </si>
  <si>
    <t>Passo seguinte</t>
  </si>
  <si>
    <t>Mais informações sobre fórmulas, células e intervalos</t>
  </si>
  <si>
    <t xml:space="preserve">O Excel é composto por células individuais agrupadas em linhas e colunas. As linhas são numeradas e as colunas têm letras. Existem mais de um milhão de linhas e 16 mil colunas, e pode escrever fórmulas em qualquer uma delas. 
</t>
  </si>
  <si>
    <t xml:space="preserve">As fórmulas podem conter referências a células, intervalos de referências a células, operadores e constantes. Eis alguns exemplos de fórmulas:
=A1+B1
=10+20
=SOMA(A1:A10)
</t>
  </si>
  <si>
    <t xml:space="preserve">No terceiro exemplo acima, utilizámos a função SOMA. Uma função é um comando previamente criado que calcula um ou mais valores e devolve um resultado. Por exemplo, a função SOMA soma as referências ou intervalos de células que especificar. Neste exemplo, soma as células A1 a A10. O Excel tem mais de 400 funções, que pode explorar no separador Fórmulas.
</t>
  </si>
  <si>
    <t xml:space="preserve">As fórmulas com funções começam com um sinal de igual, seguido do nome da função e dos argumentos (os valores que uma função utiliza para calcular) entre parênteses. 
</t>
  </si>
  <si>
    <t xml:space="preserve">Pode confirmar uma fórmula ao premir Enter. Após isso, a fórmula irá efetuar o cálculo e o resultado será apresentado na célula. Para ver a fórmula em si, pode observar a barra de fórmulas por baixo do Friso ou premir F2 para entrar no Modo de edição, onde verá a fórmula na célula. Prima Enter novamente para finalizar a fórmula e calcular o resultado.
</t>
  </si>
  <si>
    <t>Explicações sobre a fórmula</t>
  </si>
  <si>
    <t>Na fórmula =SOMA(A1:A10), SOMA é o nome da função, os parênteses esquerdo e direito contêm os argumentos da fórmula e A1:A10 é o intervalo de células para a função.</t>
  </si>
  <si>
    <t>Na fórmula =SOMA(A1:A10;C1:C10), SOMA é o nome da função, os parênteses esquerdo e direito contêm os argumentos da fórmula e A1:A10;C1:C10 são os intervalos de células para a função separados por ponto e vírgula.</t>
  </si>
  <si>
    <t xml:space="preserve">INFORMAÇÕES ÚTEIS: as constantes são valores que introduz em células ou fórmulas. Apesar de =10+20 efetuar um cálculo igual a =A1+B1, as constantes não são recomendadas. Porquê? Porque não consegue ver a constante facilmente sem selecionar a célula e procurá-la. Assim, poderá ser difícil alterá-la posteriormente. É muito mais fácil colocar as suas constantes em células, onde podem ser facilmente ajustadas e referenciadas nas fórmulas.
Por exemplo: selecione a célula amarela com o número 12 abaixo. Verá que utilizámos a função SOMA com um intervalo de células. Não escrevemos "4" ou "8" diretamente na fórmula. 
</t>
  </si>
  <si>
    <t>Anterior</t>
  </si>
  <si>
    <t>Seguinte</t>
  </si>
  <si>
    <t>Mais informações na Web</t>
  </si>
  <si>
    <t>Utilizar o Excel como uma calculadora</t>
  </si>
  <si>
    <t>Descrição geral de fórmulas no Excel</t>
  </si>
  <si>
    <t xml:space="preserve">Funções do Excel (por categoria) </t>
  </si>
  <si>
    <t>Funções do Excel (por ordem alfabética) </t>
  </si>
  <si>
    <t>Formação online gratuita do Excel</t>
  </si>
  <si>
    <t>Números a utilizar:</t>
  </si>
  <si>
    <t>Operação:</t>
  </si>
  <si>
    <t xml:space="preserve">Soma (+) </t>
  </si>
  <si>
    <t xml:space="preserve">Subtração (-) </t>
  </si>
  <si>
    <t xml:space="preserve">Multiplicação (*) </t>
  </si>
  <si>
    <t xml:space="preserve">Divisão (/) </t>
  </si>
  <si>
    <t xml:space="preserve">Potência (^) </t>
  </si>
  <si>
    <t>Fórmulas:</t>
  </si>
  <si>
    <t>Respostas:</t>
  </si>
  <si>
    <t>Valores</t>
  </si>
  <si>
    <t>Introdução às funções</t>
  </si>
  <si>
    <t>Pode realizar inúmeras ações com as funções, tal como operações matemáticas, procurar valores ou até calcular datas e horas. Vamos experimentar somar valores com a função SOMA de algumas maneiras diferentes.</t>
  </si>
  <si>
    <t xml:space="preserve">Na coluna Quantidade referente à Fruta (célula D7), introduza =SOMA(D3:D6) ou escreva =SOMA( e, em seguida, selecione o intervalo com o rato e prima Enter. Esta ação irá somar os valores nas células D3, D4, D5 e D6. O resultado deverá ser 170.
</t>
  </si>
  <si>
    <t xml:space="preserve">Vamos experimentar a Soma Automática. Selecione a célula na coluna referente à Carne (célula G7) e, em seguida, aceda a Fórmulas &gt; Soma Automática &gt; selecione SOMA. Verá como o Excel introduz a fórmula automaticamente. Prima Enter para confirmar. A funcionalidade Soma Automática tem todas as funções mais comuns.
</t>
  </si>
  <si>
    <t>Eis um atalho de teclado útil. Selecione a célula D15 e prima Alt, Shift e = e prima Enter. A função SOMA é introduzida automaticamente.</t>
  </si>
  <si>
    <t>PONTOS EXTRA
Experimente a função CONTAR através de qualquer método que já experimentou. A função CONTAR conta o número de células num intervalo que contêm números.</t>
  </si>
  <si>
    <t>Mais informações sobre funções</t>
  </si>
  <si>
    <t>Aceda ao separador Fórmulas e procure na Biblioteca de Funções, onde as funções são apresentadas por categoria, como Texto, Data e Hora, etc. A opção Inserir Função permite-lhe procurar funções pelo nome e iniciar um assistente de funções que o ajuda a criar a sua fórmula. 
Ao começar a escrever o nome de uma função e premir =, o Excel inicia o IntelliSense, que apresenta uma lista de funções que começam pelas mesmas letras que escrever. Quando encontrar a que pretende, prima a Tecla de Tabulação e o Excel irá preencher o nome da função e introduzir o parêntese esquerdo automaticamente. Também irá apresentar os argumentos opcionais e obrigatórios. 
Vamos analisar a estrutura de algumas funções. A função SOMA tem a seguinte estrutura:</t>
  </si>
  <si>
    <t xml:space="preserve">Se a função SOMA pudesse falar, diria: devolver a soma de todos os valores nas células D35 a D38 e de toda a coluna H. SOMA é o nome da função, D35:D38 é o primeiro intervalo de valores, que é quase sempre obrigatório, e H:H é o segundo intervalo de valores, separados por ponto e vírgula. Agora, vamos experimentar uma função que não necessite de argumentos.
</t>
  </si>
  <si>
    <t>A função HOJE devolve a data de hoje. O resultado é atualizado automaticamente quando o Excel volta a calcular.</t>
  </si>
  <si>
    <t xml:space="preserve">INTERESSANTE
Selecione estas células. Em seguida, no canto inferior direito da janela do Excel, procure o texto SOMA: 170 na barra inferior. É denominada Barra de Estado e é mais uma forma rápida de ver um total e outros detalhes sobre um intervalo ou célula selecionado. </t>
  </si>
  <si>
    <t xml:space="preserve">DETALHE IMPORTANTE
Faça duplo clique nesta célula. Verá o número 100 no fim. Embora seja possível colocar números numa fórmula como esta, não o recomendamos a menos que seja necessário. São conhecidos como constantes e é fácil esquecer-se de que estão lá. Recomendamos que faça antes referência a outra célula, como a célula F51. Dessa forma, é vista facilmente e não fica oculta dentro de uma fórmula. </t>
  </si>
  <si>
    <t>Tudo sobre a função SOMA</t>
  </si>
  <si>
    <t>Utilizar a funcionalidade Soma Automática para somar números</t>
  </si>
  <si>
    <t>Tudo sobre a função CONTAR</t>
  </si>
  <si>
    <t>Voltar ao início</t>
  </si>
  <si>
    <t>Fruta</t>
  </si>
  <si>
    <t>Maçãs</t>
  </si>
  <si>
    <t>Laranjas</t>
  </si>
  <si>
    <t>Bananas</t>
  </si>
  <si>
    <t>Limões</t>
  </si>
  <si>
    <t xml:space="preserve">SOMA &gt; </t>
  </si>
  <si>
    <t>Item</t>
  </si>
  <si>
    <t>Pão</t>
  </si>
  <si>
    <t>Dónutes</t>
  </si>
  <si>
    <t>Bolachas</t>
  </si>
  <si>
    <t>Bolos</t>
  </si>
  <si>
    <t>Tartes</t>
  </si>
  <si>
    <t>Carros</t>
  </si>
  <si>
    <t>Camiões</t>
  </si>
  <si>
    <t>Bicicletas</t>
  </si>
  <si>
    <t>Skates</t>
  </si>
  <si>
    <t>Quantidade</t>
  </si>
  <si>
    <t>Total:</t>
  </si>
  <si>
    <t>Carne</t>
  </si>
  <si>
    <t>Carne de Vaca</t>
  </si>
  <si>
    <t>Frango</t>
  </si>
  <si>
    <t>Porco</t>
  </si>
  <si>
    <t>Peixe</t>
  </si>
  <si>
    <t>CONTAR &gt;</t>
  </si>
  <si>
    <t>Valor Adicional</t>
  </si>
  <si>
    <t>Novo Total</t>
  </si>
  <si>
    <t>Função MÉDIA</t>
  </si>
  <si>
    <r>
      <t xml:space="preserve">Utilize a função </t>
    </r>
    <r>
      <rPr>
        <b/>
        <sz val="11"/>
        <color theme="0"/>
        <rFont val="Calibri"/>
        <family val="2"/>
      </rPr>
      <t>MÉDIA</t>
    </r>
    <r>
      <rPr>
        <sz val="11"/>
        <color theme="0"/>
        <rFont val="Calibri"/>
        <family val="2"/>
      </rPr>
      <t xml:space="preserve"> para obter uma média dos números num intervalo de células.</t>
    </r>
  </si>
  <si>
    <r>
      <t xml:space="preserve">Selecione a célula D7 e, em seguida, utilize a </t>
    </r>
    <r>
      <rPr>
        <b/>
        <sz val="11"/>
        <color theme="0"/>
        <rFont val="Calibri"/>
        <family val="2"/>
      </rPr>
      <t>Soma Automática</t>
    </r>
    <r>
      <rPr>
        <sz val="11"/>
        <color theme="0"/>
        <rFont val="Calibri"/>
        <family val="2"/>
      </rPr>
      <t xml:space="preserve"> para adicionar uma função </t>
    </r>
    <r>
      <rPr>
        <b/>
        <sz val="11"/>
        <color theme="0"/>
        <rFont val="Calibri"/>
        <family val="2"/>
      </rPr>
      <t>MÉDIA</t>
    </r>
    <r>
      <rPr>
        <sz val="11"/>
        <color theme="0"/>
        <rFont val="Calibri"/>
        <family val="2"/>
      </rPr>
      <t>.</t>
    </r>
  </si>
  <si>
    <r>
      <t xml:space="preserve">Agora, selecione a célula G7 e introduza uma função </t>
    </r>
    <r>
      <rPr>
        <b/>
        <sz val="11"/>
        <color theme="0"/>
        <rFont val="Calibri"/>
        <family val="2"/>
      </rPr>
      <t>MÉDIA</t>
    </r>
    <r>
      <rPr>
        <sz val="11"/>
        <color theme="0"/>
        <rFont val="Calibri"/>
        <family val="2"/>
      </rPr>
      <t xml:space="preserve"> ao escrever </t>
    </r>
    <r>
      <rPr>
        <b/>
        <sz val="11"/>
        <color theme="0"/>
        <rFont val="Calibri"/>
        <family val="2"/>
      </rPr>
      <t xml:space="preserve">=MÉDIA(G3:G6). </t>
    </r>
  </si>
  <si>
    <r>
      <t xml:space="preserve">Na célula D15, pode utilizar a </t>
    </r>
    <r>
      <rPr>
        <b/>
        <sz val="11"/>
        <color theme="0"/>
        <rFont val="Calibri"/>
        <family val="2"/>
      </rPr>
      <t>Soma Automática</t>
    </r>
    <r>
      <rPr>
        <sz val="11"/>
        <color theme="0"/>
        <rFont val="Calibri"/>
        <family val="2"/>
      </rPr>
      <t xml:space="preserve"> ou introduzir uma função </t>
    </r>
    <r>
      <rPr>
        <b/>
        <sz val="11"/>
        <color theme="0"/>
        <rFont val="Calibri"/>
        <family val="2"/>
      </rPr>
      <t>MÉDIA</t>
    </r>
    <r>
      <rPr>
        <sz val="11"/>
        <color theme="0"/>
        <rFont val="Calibri"/>
        <family val="2"/>
      </rPr>
      <t xml:space="preserve"> manualmente. </t>
    </r>
  </si>
  <si>
    <t xml:space="preserve">INTERESSANTE
Selecione um intervalo de números e, em seguida, olhe para a Barra de Estado para obter uma Média imediatamente.
</t>
  </si>
  <si>
    <t>Ativar a folha anterior</t>
  </si>
  <si>
    <t>Ir para a folha seguinte</t>
  </si>
  <si>
    <t xml:space="preserve">PONTOS EXTRA
Experimente utilizar as funções MED ou MODA aqui. 
A função MED dá-lhe o valor no meio do conjunto de dados e a função 
MODA dá-lhe o valor que ocorre com mais frequência.
</t>
  </si>
  <si>
    <t>Ligações para mais informações na Web</t>
  </si>
  <si>
    <t>Selecione para aceder à Web e saber tudo sobre a função MÉDIA</t>
  </si>
  <si>
    <t>Selecione para aceder à Web e saber tudo sobre a função MED</t>
  </si>
  <si>
    <t>Selecione para aceder à Web e saber tudo sobre a função MODA</t>
  </si>
  <si>
    <t>Selecione para aceder à Web e saber tudo sobre formação online gratuita do Excel</t>
  </si>
  <si>
    <t>MÉDIA &gt;</t>
  </si>
  <si>
    <t>Se a função SOMA na célula D42 pudesse falar, ela diria: Some os valores nas células D38, D39, D40 e D41.</t>
  </si>
  <si>
    <t>Tudo sobre a função SOMA.SE</t>
  </si>
  <si>
    <t>Funções MÍNIMO e MÁXIMO</t>
  </si>
  <si>
    <r>
      <t xml:space="preserve">Utilize a função </t>
    </r>
    <r>
      <rPr>
        <b/>
        <sz val="10"/>
        <color theme="0"/>
        <rFont val="Calibri"/>
        <family val="2"/>
        <scheme val="minor"/>
      </rPr>
      <t>MÍNIMO</t>
    </r>
    <r>
      <rPr>
        <sz val="10"/>
        <color theme="0"/>
        <rFont val="Calibri"/>
        <family val="2"/>
        <scheme val="minor"/>
      </rPr>
      <t xml:space="preserve"> para obter o número mínimo num intervalo de células.</t>
    </r>
  </si>
  <si>
    <r>
      <t xml:space="preserve">Utilize a função </t>
    </r>
    <r>
      <rPr>
        <b/>
        <sz val="10"/>
        <color theme="0"/>
        <rFont val="Calibri"/>
        <family val="2"/>
        <scheme val="minor"/>
      </rPr>
      <t>MÁXIMO</t>
    </r>
    <r>
      <rPr>
        <sz val="10"/>
        <color theme="0"/>
        <rFont val="Calibri"/>
        <family val="2"/>
        <scheme val="minor"/>
      </rPr>
      <t xml:space="preserve"> para obter o número máximo num intervalo de células.</t>
    </r>
  </si>
  <si>
    <t xml:space="preserve">Selecione a célula D7 e, em seguida, utilize o Assistente de Soma Automática para adicionar uma função MÍNIMO.
</t>
  </si>
  <si>
    <t xml:space="preserve">Na célula D15, pode utilizar o Assistente de Soma Automática ou escrever uma função MÍNIMO ou MÁXIMO manualmente. 
</t>
  </si>
  <si>
    <t xml:space="preserve">Mais informações na Web
</t>
  </si>
  <si>
    <t>Tudo sobre a função MÍNIMO</t>
  </si>
  <si>
    <t>Tudo sobre a função MÁXIMO</t>
  </si>
  <si>
    <t xml:space="preserve">INFORMAÇÕES ÚTEIS
Pode utilizar a função MÍNIMO ou MÁXIMO com múltiplos intervalos ou valores para apresentar os valores mais baixos ou mais elevados. Por exemplo, =MÍNIMO(A1:A10;B1:B10) ou =MÁXIMO(A1:A10;B1), em que a célula B1 contém um valor de limiar, como 10. Neste caso, a fórmula nunca irá devolver um resultado inferior a 10.
</t>
  </si>
  <si>
    <t>MÍNIMO &gt;</t>
  </si>
  <si>
    <t>MÍNIMO ou MÁXIMO &gt;</t>
  </si>
  <si>
    <t>MÁXIMO &gt;</t>
  </si>
  <si>
    <t>Funções com Datas</t>
  </si>
  <si>
    <t>O Excel pode apresentar-lhe a data atual, com base nas definições de região do seu computador. Também pode somar e subtrair Datas.</t>
  </si>
  <si>
    <t xml:space="preserve">Veja a função HOJE, que lhe apresenta a data de hoje. Estas funções são voláteis, já que se abrir o livro amanhã, será apresentada a data de amanhã. Introduza =HOJE() na célula D6. 
</t>
  </si>
  <si>
    <t xml:space="preserve">Subtrair Datas – introduza o seu próximo aniversário no formato DD/MM/AA na célula D7 e veja como o Excel o informa de quantos dias faltam com a fórmula =D7-D6 na célula D8.
</t>
  </si>
  <si>
    <t xml:space="preserve">Somar Datas – imagine que pretende saber quando é o prazo de pagamento de uma fatura ou quando precisa de devolver um livro à biblioteca. Pode somar dias a uma data para descobrir. Na célula D10, introduza um número de dias aleatório. Na célula D11, somámos as células =D6+D10 para calcular o prazo a partir de hoje.
</t>
  </si>
  <si>
    <t xml:space="preserve">INFORMAÇÕES ÚTEIS
O Excel guarda as datas e horas com base no número de dias a partir de 1 de janeiro de 1900. As horas são guardadas em partes fracionárias de um dia baseado em minutos. Então, 01/01/2017 às 12:30 é armazenado como 42736,5208. Se os valores de Hora ou Data forem apresentados como números semelhantes a este, pode premir Ctrl+1 &gt; Número &gt; selecionar um formato Data ou Hora. </t>
  </si>
  <si>
    <t xml:space="preserve">DETALHE IMPORTANTE
Se não quiser que o Excel apresente um número negativo por ainda não ter introduzido o seu dia de aniversário, pode utilizar a função SE da seguinte maneira: =SE(D7="";"";D7-D6), que diz: "SE D7 for igual a nada, então deixar a célula vazia, caso contrário mostrar o resultado da subtração da célula D7 pela célula D6".
</t>
  </si>
  <si>
    <t>Funções com Horas</t>
  </si>
  <si>
    <t xml:space="preserve">O Excel pode apresentar-lhe a hora atual, com base nas definições de região do seu computador. Também pode somar e subtrair horas. Por exemplo, poderá querer controlar quantas horas um funcionário trabalhou em cada semana e calcular o seu salário e horas extraordinárias.
</t>
  </si>
  <si>
    <t xml:space="preserve">Na célula D28, introduza =AGORA(), que lhe devolve a hora atual e o resultado será atualizado sempre que o Excel efetuar o cálculo. Se precisar de alterar o formato Hora, pode premir Ctrl+1 e aceder a Número &gt; Hora &gt; selecionar o formato pretendido.
</t>
  </si>
  <si>
    <t xml:space="preserve">Somar horas entre horas – Na célula D36 introduzimos =((D35-D32)-(D34-D33))*24, que calcula as horas de entrada e de saída de um funcionário e subtrai o tempo de almoço. A parte *24 no fim da fórmula converte a parte fracionária do dia que o Excel analisa em horas. Terá de formatar a célula como um Número. Para fazê-lo, aceda a Base &gt; Formatar &gt; Formatar Células (Ctrl+1) &gt; Número &gt; Número &gt; 2 casas decimais.
</t>
  </si>
  <si>
    <t>Tudo sobre a função HOJE</t>
  </si>
  <si>
    <t>Tudo sobre a função AGORA</t>
  </si>
  <si>
    <t>Tudo sobre a função DATA</t>
  </si>
  <si>
    <t>Data de hoje:</t>
  </si>
  <si>
    <t>O seu aniversário:</t>
  </si>
  <si>
    <t>Dias até ao seu aniversário:</t>
  </si>
  <si>
    <t>Dias de período de tolerância:</t>
  </si>
  <si>
    <t>Fatura com prazo de pagamento a:</t>
  </si>
  <si>
    <t>Hora Atual:</t>
  </si>
  <si>
    <t>Horas Diárias de Trabalho</t>
  </si>
  <si>
    <t>Hora de Entrada:</t>
  </si>
  <si>
    <t>Saída para Almoço:</t>
  </si>
  <si>
    <t>Chegada do Almoço:</t>
  </si>
  <si>
    <t>Hora de Saída:</t>
  </si>
  <si>
    <t>Total de Horas:</t>
  </si>
  <si>
    <t>Data e Hora Estáticas</t>
  </si>
  <si>
    <t>Data:</t>
  </si>
  <si>
    <t>Hora:</t>
  </si>
  <si>
    <t>Unir texto de células diferentes</t>
  </si>
  <si>
    <t xml:space="preserve">Muitas vezes, ao trabalhar no Excel, irá querer unir texto que se encontra em células diferentes. Este exemplo é muito comum: tem uma lista de nomes próprios e apelidos e quer combiná-los como nome próprio, apelido ou como o nome completo. Felizmente, o Excel permite-nos fazê-lo com o símbolo de E comercial (&amp;), que pode introduzir ao premir Shift+6.
</t>
  </si>
  <si>
    <t xml:space="preserve">Na célula E3, introduza =D3&amp;C3 para unir o apelido e o nome próprio. 
</t>
  </si>
  <si>
    <t xml:space="preserve">GouveiaMargarida não parece correto. Precisamos de adicionar uma vírgula e espaço. Para fazê-lo, vamos utilizar aspas para criar uma nova cadeia de texto. Agora, introduza =D3&amp;", "&amp;C3. A parte &amp;", "&amp; permite-nos juntar uma vírgula e espaço ao texto nas células.
</t>
  </si>
  <si>
    <t xml:space="preserve">Para criar um nome completo, vamos unir o nome próprio e o apelido e utilizar um espaço sem vírgula. Na célula F3, introduza =C3&amp;" "&amp;D3.
</t>
  </si>
  <si>
    <t>Utilizar texto e números em conjunto</t>
  </si>
  <si>
    <t>Agora, vamos utilizar &amp; para unir texto e números e não apenas texto
Repare nas células C28:D29. As datas e horas estão em células separadas. Pode associá-las com o símbolo &amp;, como pode ver nas células C32:C33. No entanto, o resultado não parece correto. Infelizmente, o Excel não sabe como quer formatar os números, pelo que os apresenta no seu formato mais básico, que neste caso é a data em série. Precisamos de explicar ao Excel como formatar a parte do número da fórmula, para que seja apresentado como pretendido na cadeia de texto. Pode fazê-lo com a função TEXTO e código de formatação.</t>
  </si>
  <si>
    <t xml:space="preserve">Na célula C36, introduza =C28&amp;" "&amp;TEXTO(D28;"MM/DD/AAAA"). MM/DD/AAAA é o código de formato dos EUA para Mês/Dia/Ano, por exemplo, 09/25/2017.
</t>
  </si>
  <si>
    <t>INTERESSANTE
As fórmulas, especialmente as fórmulas grandes, podem ser por vezes difíceis de ler, mas pode separar as partes com espaços, por exemplo:
=C28 &amp; " " &amp; TEXTO(D28;"MM/DD/AAAA")</t>
  </si>
  <si>
    <t>PARA EXPLORAR
Se não souber que código de formato utilizar, pode premir Ctrl+1 &gt; Número para formatar qualquer célula como quiser. Em seguida, selecione a opção Personalizado. Pode copiar o código de formato apresentado para a sua fórmula.</t>
  </si>
  <si>
    <t>Tudo sobre a função TEXTO</t>
  </si>
  <si>
    <t>Combinar texto e números</t>
  </si>
  <si>
    <t>Nome Próprio</t>
  </si>
  <si>
    <t>Margarida</t>
  </si>
  <si>
    <t>Samuel</t>
  </si>
  <si>
    <t>Adriana</t>
  </si>
  <si>
    <t>Eduarda</t>
  </si>
  <si>
    <t>Guilherme</t>
  </si>
  <si>
    <t>Bernardo</t>
  </si>
  <si>
    <t>Francisco</t>
  </si>
  <si>
    <t>Teresa</t>
  </si>
  <si>
    <t>Utilizar texto e números</t>
  </si>
  <si>
    <t>Hora atual:</t>
  </si>
  <si>
    <t>Unir texto e números</t>
  </si>
  <si>
    <t>Formatar texto e números</t>
  </si>
  <si>
    <t>Apelido</t>
  </si>
  <si>
    <t>Gouveia</t>
  </si>
  <si>
    <t>Costa</t>
  </si>
  <si>
    <t>Mota</t>
  </si>
  <si>
    <t>Almeida</t>
  </si>
  <si>
    <t>Sarmento</t>
  </si>
  <si>
    <t>Cardoso</t>
  </si>
  <si>
    <t>Sousa</t>
  </si>
  <si>
    <t>Andrade</t>
  </si>
  <si>
    <t>Apelido, Nome Próprio</t>
  </si>
  <si>
    <t>Nome Completo</t>
  </si>
  <si>
    <t>Instruções SE</t>
  </si>
  <si>
    <t>As instruções SE permitem-lhe fazer comparações lógicas entre condições. Uma instrução SE geralmente diz: se uma condição for verdadeira, então fazer algo, caso contrário fazer outra coisa. As fórmulas podem devolver texto, valores ou até mais cálculos.</t>
  </si>
  <si>
    <t xml:space="preserve">Na célula D9 introduza =SE(C9="Maçã";VERDADEIRO;FALSO). A resposta correta é VERDADEIRO. 
</t>
  </si>
  <si>
    <t xml:space="preserve">Copie os conteúdos da célula D9 para a célula D10. A resposta aqui deverá ser FALSO porque uma laranja não é uma maçã.
</t>
  </si>
  <si>
    <t xml:space="preserve">Experimente outro exemplo: analise a fórmula na célula D12. Já introduzimos =SE(C12&lt;100;"Menor que 100";"Maior ou igual a 100"). O que acontece se introduzir um número maior que 100 na célula C12?
</t>
  </si>
  <si>
    <t>DETALHE IMPORTANTE
As palavras VERDADEIRO e FALSO são processadas de forma diferente das outras palavras nas fórmulas do Excel, pois não necessitam de estar entre aspas – o Excel converte-as em maiúsculas automaticamente. Os números também não têm de estar entre aspas. O texto normal, como Sim ou Não, tem de ficar entre aspas, assim: 
=SE(C9="Maçã"; "Sim"; "Não")</t>
  </si>
  <si>
    <t>A instrução SE com outra função</t>
  </si>
  <si>
    <t xml:space="preserve">As instruções SE também podem forçar a execução de mais cálculos se for cumprida determinada condição. Aqui vamos avaliar uma célula para ver se o Imposto Sobre Vendas deverá ser alterado e calculá-lo se a condição for verdadeira.
</t>
  </si>
  <si>
    <t>Na célula F33, introduzimos =SE(E33="Sim";F31*ImpostoSobreVendas;0), em que ImpostoSobreVendas está configurado como um Intervalo com Nome com o valor 0,0825. A nossa fórmula diz: se a célula E33 for igual a Sim, então multiplicar a célula F31 pelo ImpostoSobreVendas, caso contrário devolver 0.
Experimente alterar Sim para Não na célula E33 para ver a alteração do cálculo.</t>
  </si>
  <si>
    <t xml:space="preserve">Em seguida, adicionámos uma instrução SE para calcular os custos de envio, se necessário. Na célula F35 pode ver =SE(E35="Sim";SOMA(D28:D29)*1,25;0). Traduzindo: "se a célula E35 for igual a Sim, então utilizar o resultado da soma da coluna Quantidade na tabela acima e multiplicá-lo por 1,25, caso contrário devolver 0".
</t>
  </si>
  <si>
    <t xml:space="preserve">Em seguida, altere o valor 1,25 na fórmula na célula F35 para "Envio". Ao começar a escrever, a correção automática do Excel deverá encontrar o valor automaticamente. Quando o encontrar, prima a Tecla de Tabulação para introduzir o valor. Este é um Intervalo com Nome e introduzimo-lo em Fórmulas &gt; Definir Nome. Agora, se precisar de alterar os seus custos de envio, só tem de o fazer num local e pode utilizar o nome Envio em qualquer sítio no livro.
</t>
  </si>
  <si>
    <t>INFORMAÇÕES ÚTEIS
Ao criar uma fórmula, o Excel coloca automaticamente limites coloridos em redor dos intervalos referenciados na fórmula e os intervalos correspondentes na fórmula terão a mesma cor. Pode verificá-lo ao selecionar a célula F33 e premir F2 para editar a fórmula.</t>
  </si>
  <si>
    <t xml:space="preserve">SUGESTÃO AVANÇADA
Os Intervalos com Nome permitem-lhe definir termos ou valores num único sítio e reutilizá-los em todo o livro. Pode ver todos os intervalos com nome neste livro ao aceder a Fórmulas &gt; Gestor de Nomes. Clique aqui para saber mais.
</t>
  </si>
  <si>
    <t>Tudo sobre a função SE</t>
  </si>
  <si>
    <t>Tudo sobre a função SE.S</t>
  </si>
  <si>
    <t>Instruções SE avançadas</t>
  </si>
  <si>
    <t>Maçã</t>
  </si>
  <si>
    <t>Laranja</t>
  </si>
  <si>
    <t>Ferramenta</t>
  </si>
  <si>
    <t>Objeto</t>
  </si>
  <si>
    <t>Subtotal</t>
  </si>
  <si>
    <t>Imposto Sobre Vendas?</t>
  </si>
  <si>
    <t>Envio?</t>
  </si>
  <si>
    <t>Total</t>
  </si>
  <si>
    <t>Custo</t>
  </si>
  <si>
    <t>PROCV</t>
  </si>
  <si>
    <t xml:space="preserve">A função PROCV é das mais utilizadas no Excel (e uma das nossas favoritas!). A função PROCV permite-lhe procurar um valor numa coluna à esquerda e, em seguida, devolve informações numa coluna à direita, se encontrar correspondência. A função PROCV diz:
</t>
  </si>
  <si>
    <t>=PROCV(A1;B:C;2;FALSO)</t>
  </si>
  <si>
    <t>O que pretende procurar?</t>
  </si>
  <si>
    <t>Se localizar os conteúdos, em quantas colunas para a direita pretende que sejam localizados valores?</t>
  </si>
  <si>
    <t>Onde quer procurar?</t>
  </si>
  <si>
    <t>Pretende uma correspondência exata ou aproximada?</t>
  </si>
  <si>
    <t xml:space="preserve">Na célula D22, introduza =PROCV(C22;C17:D20;2;FALSO). A resposta correta para Maçãs é 50. A função PROCV procurou o valor Maçãs, localizou-o e, em seguida, analisou a coluna da direita e devolveu a quantidade.
</t>
  </si>
  <si>
    <t xml:space="preserve">Agora, experimente na secção Carne, na célula G22. Deverá introduzir a fórmula =PROCV(F22;F17:G20;2;FALSO).
</t>
  </si>
  <si>
    <t>EXPERIMENTE
Experimente selecionar diferentes itens nas listas pendentes. Verá as células dos resultados a serem atualizadas automaticamente com novos valores.</t>
  </si>
  <si>
    <t>A função PROCV e o erro #N/D</t>
  </si>
  <si>
    <t xml:space="preserve">Por vezes, irá deparar-se com uma situação em que a função PROCV não consegue encontrar aquilo que pediu e devolve um erro (#N/D). Por vezes, é porque o valor de pesquisa simplesmente não existe ou poderá ser porque a célula de referência ainda não tem um valor.
</t>
  </si>
  <si>
    <t xml:space="preserve">Se souber que o seu valor de pesquisa existe, mas quiser ocultar o erro se a célula de pesquisa estiver vazia, pode utilizar uma instrução SE. Neste caso, escreveremos a nossa fórmula PROCV existente na célula D43 da seguinte maneira:
=SE(C43="";"";PROCV(C43;C37:D41;2;FALSO))
Traduzindo: se a célula C43 for igual a nada (""), então deixar a célula vazia, caso contrário devolver os resultados da função PROCV. Repare no segundo parêntese direito no final da fórmula. Este parêntese fecha a instrução SE.
</t>
  </si>
  <si>
    <t xml:space="preserve">Se não tiver a certeza se o seu valor de pesquisa existe, mas quiser suprimir o erro #N/D, pode utilizar uma função de processamento de erros denominada SE.ERRO na célula G43: =SE.ERRO(PROCV(F43;F37:G41;2;FALSO);""). A função SE.ERRO diz: se a função PROCV devolver um resultado válido, então apresentar isto, caso contrário deixar a célula vazia (""). Deixámos a célula vazia aqui (""), mas também pode utilizar números (0,1, 2, etc.) ou texto, como "A fórmula não está correta".
</t>
  </si>
  <si>
    <t>DETALHE IMPORTANTE
A função SE.ERRO é um processador de erros geral, o que significa que irá suprimir todos os erros que a sua fórmula poderá devolver. Isto poderá originar problemas se o Excel lhe apresentar uma notificação que o informa que a sua fórmula tem um erro legítimo que tem de ser corrigido.
É recomendado que não adicione processadores de erros às suas fórmulas até ter mesmo a certeza de que funcionam bem.</t>
  </si>
  <si>
    <t>Tudo sobre a função PROCV</t>
  </si>
  <si>
    <t>Tudo sobre as funções ÍNDICE/CORRESP</t>
  </si>
  <si>
    <t>Tudo sobre a função SE.ERRO</t>
  </si>
  <si>
    <t>Utilizar tabelas dinâmicas para analisar dados de folhas de cálculo</t>
  </si>
  <si>
    <t>Pastelaria</t>
  </si>
  <si>
    <t>Funções condicionais – SOMA.SE</t>
  </si>
  <si>
    <t>As funções condicionais permitem-lhe somar, calcular a média, contar ou obter o valor mínimo ou máximo de um intervalo com base numa condição ou critérios que especificar. Por exemplo, nesta lista de frutas, quantas maçãs existem? Ou quantas laranjas são da variedade Valencia Late?</t>
  </si>
  <si>
    <t>A função SOMA.SE permite-lhe somar num intervalo com base em critérios específicos que procura noutro intervalo, por exemplo, quantas Maçãs tem. Selecione a célula D17 e escreva =SOMA.SE(C3:C14;C17;D3:D14). A função SOMA.SE tem a seguinte estrutura:</t>
  </si>
  <si>
    <t>=SOMA.SE(C3:C14;C17;D3:D14)</t>
  </si>
  <si>
    <t>Em que intervalo quer procurar?</t>
  </si>
  <si>
    <t>Que valor (texto ou número) quer procurar?</t>
  </si>
  <si>
    <t>Para cada correspondência encontrada, que intervalo quer somar?</t>
  </si>
  <si>
    <t xml:space="preserve">A função SOMA.SE.S é semelhante à função SOMA.SE, mas permite-lhe utilizar múltiplos critérios. Neste exemplo, pode procurar Fruta e Variedade em vez de apenas Fruta. Selecione a célula H17 e escreva =SOMA.SE.S(H3:H14;F3:F14;F17;G3:G14;G17). A função SOMA.SE.S tem a seguinte estrutura:
</t>
  </si>
  <si>
    <t>=SOMA.SE.S(H3:H14;F3:F14;F17;G3:G14;G17)</t>
  </si>
  <si>
    <t>Que intervalo quer somar?</t>
  </si>
  <si>
    <t>Este é o primeiro intervalo onde procurar correspondências</t>
  </si>
  <si>
    <t>Estes são os critérios para a primeira correspondência</t>
  </si>
  <si>
    <t>Este é o segundo intervalo onde procurar correspondências</t>
  </si>
  <si>
    <t>Estes são os critérios para a segunda correspondência</t>
  </si>
  <si>
    <t>SUGESTÃO AVANÇADA
Cada célula das colunas Fruta e Variedade tem uma lista pendente, onde pode selecionar fruta diferente. Experimente e veja como as fórmulas são atualizadas automaticamente.</t>
  </si>
  <si>
    <t>Funções condicionais – CONTAR.SE</t>
  </si>
  <si>
    <t>As funções CONTAR.SE e CONTAR.SE.S permitem-lhe contar valores num intervalo com base em critérios que especificar. São um pouco diferentes das funções SE e SE.S, na medida em que só têm um intervalo de critérios e critérios. Não avaliam um intervalo e analisam outro para resumir.</t>
  </si>
  <si>
    <t>Selecione a célula D64 e escreva =CONTAR.SE(C50:C61;C64). A função CONTAR.SE tem a seguinte estrutura:</t>
  </si>
  <si>
    <t>=CONTAR.SE(C50:C61;C64)</t>
  </si>
  <si>
    <t xml:space="preserve">A função CONTAR.SE.S é semelhante à função SOMA.SE, mas permite-lhe utilizar múltiplos critérios. Neste exemplo, pode procurar por Fruta e Variedade em vez de apenas por Fruta. Selecione a célula H64 e escreva =CONTAR.SE.S(F50:F61;F64;G50:G61;G64). A função CONTAR.SE.S tem a seguinte estrutura:
</t>
  </si>
  <si>
    <t>=CONTAR.SE.S(F50:F61;F64;G50:G61;G64)</t>
  </si>
  <si>
    <t>Este é o primeiro intervalo a contar</t>
  </si>
  <si>
    <t>Este é o segundo intervalo a contar</t>
  </si>
  <si>
    <t>Estes são os critérios da segunda correspondência</t>
  </si>
  <si>
    <t>Mais funções condicionais</t>
  </si>
  <si>
    <t xml:space="preserve">Já viu as funções SOMA.SE, SOMA.SE.S, CONTAR.SE e CONTAR.SE.S. Agora pode experimentar sozinho com outras funções, tais como MÉDIA.SE, MÉDIA.SE.S, MÁXIMO.SE.S, MÍNIMO.SE.S. Têm todas uma estrutura semelhante pelo que, depois de escrever uma fórmula, pode simplesmente substituir o nome da função pelo que pretende. Escrevemos todas as funções de que irá precisar na célula E106, pelo que pode copiar/colar estas ou escrevê-las manualmente para praticar.
SOMA.SE 	=SOMA.SE(C92:C103;C106;E92:E103) 
SOMA.SE.S 	=SOMA.SE.S(E92:E103;C92:C103;C106;D92:D103;D106) 
MÉDIA.SE 	=MÉDIA.SE(C92:C103;C106;E92:E103) 
MÉDIA.SE.S	=MÉDIA.SE.S(E92:E103;C92:C103;C106;D92:D103;D106)
CONTAR.SE 	=CONTAR.SE(C92:C103;C106)
CONTAR.SE.S 	=CONTAR.SE.S(C92:C103;C106;D92:D103;D106) 
MÁXIMO.SE.S 	= MÁXIMO.SE.S (E92:E103;C92:C103;C106;D92:D103;D106)
MÍNIMO.SE.S 	=MÍNIMO.SE.S(E92:E103;C92:C103;C106;D92:D103;D106)
</t>
  </si>
  <si>
    <t>A função SOMA.SE com um argumento de valor</t>
  </si>
  <si>
    <t>Eis um exemplo da função SOMA.SE a utilizar o argumento maior que (&gt;) para localizar todos os valores maiores que uma quantidade específica:</t>
  </si>
  <si>
    <t>Some alguns valores com base neste critério:</t>
  </si>
  <si>
    <t>...e se o valor for superior a 50, some tudo.
 </t>
  </si>
  <si>
    <t>NOTA: se achar que está a criar demasiadas fórmulas condicionais, talvez uma tabela dinâmica seja uma melhor solução. Consulte este artigo sobre tabelas dinâmicas para obter mais informações.</t>
  </si>
  <si>
    <t>Tudo sobre a função SOMA.SE.S</t>
  </si>
  <si>
    <t>Tudo sobre a função CONTAR.SE</t>
  </si>
  <si>
    <t>Tudo sobre a função CONTAR.SE.S</t>
  </si>
  <si>
    <t>Tudo sobre a função MÉDIA.SE</t>
  </si>
  <si>
    <t>Tudo sobre a função MÉDIA.SE.S</t>
  </si>
  <si>
    <t>Tudo sobre a função MÍNIMO.SE.S</t>
  </si>
  <si>
    <t>Tudo sobre a função MÁXIMO.SE.S</t>
  </si>
  <si>
    <t>Criar uma lista pendente</t>
  </si>
  <si>
    <t>SOMA.SE</t>
  </si>
  <si>
    <t>CONTAR.SE</t>
  </si>
  <si>
    <t>Variedade</t>
  </si>
  <si>
    <t>Fuji</t>
  </si>
  <si>
    <t>Valencia Late</t>
  </si>
  <si>
    <t>Pequena Anã</t>
  </si>
  <si>
    <t>Lisboa</t>
  </si>
  <si>
    <t>Bravo de Esmolfe</t>
  </si>
  <si>
    <t>Navelate</t>
  </si>
  <si>
    <t>Eilon</t>
  </si>
  <si>
    <t>Eureka</t>
  </si>
  <si>
    <t>Experimente</t>
  </si>
  <si>
    <t>SOMA.SE.S</t>
  </si>
  <si>
    <t>CONTAR.SE.S</t>
  </si>
  <si>
    <t>Utilizar o Assistente de Funções</t>
  </si>
  <si>
    <t xml:space="preserve">Se sabe o nome da função que pretende, mas não tem a certeza de como a criar, pode utilizar o Assistente de Funções como apoio.
</t>
  </si>
  <si>
    <t xml:space="preserve">Selecione a célula D10 e, em seguida, aceda a Fórmulas &gt; Inserir Função &gt; escreva PROCV na caixa Procurar uma função e clique em Ir. Quando vir a função PROCV realçada, clique em OK na parte inferior. Ao selecionar uma função na lista, o Excel apresenta a respetiva sintaxe.
</t>
  </si>
  <si>
    <t xml:space="preserve">Em seguida, introduza os argumentos de função nas respetivas caixas de texto. À medida que introduz cada uma, o Excel avalia-a e mostra o resultado, como o resultado final na parte inferior. À medida que introduz cada secção, os critérios de cada argumento são apresentados na parte inferior do formulário. Prima OK quando terminar e o Excel irá introduzir a fórmula automaticamente.
</t>
  </si>
  <si>
    <t>INTERESSANTE
Deverá ter a fórmula =PROCV(C10;C5:D8;2;FALSO)</t>
  </si>
  <si>
    <t>INFORMAÇÕES ÚTEIS
Pode escrever referências de células e de intervalos ou selecioná-los com o rato.</t>
  </si>
  <si>
    <t xml:space="preserve">INFORMAÇÕES ÚTEIS
À medida que introduz as secções de cada argumento, a descrição do argumento será apresentada na parte inferior do formulário, por cima do Resultado da fórmula.
</t>
  </si>
  <si>
    <t>Funções do Excel (por categoria)</t>
  </si>
  <si>
    <t>Funções do Excel (por ordem alfabética)</t>
  </si>
  <si>
    <t>Corrigir erros em fórmulas</t>
  </si>
  <si>
    <t xml:space="preserve">Eventualmente, poderá deparar-se com uma fórmula que contém um erro, que o Excel irá apresentar como #NomeDoErro. Os erros podem ser úteis na medida em que indicam que algo não está correto, mas podem ser difíceis de corrigir. Felizmente, existem diversas opções que o podem ajudar a descobrir a origem do erro e a corrigi-lo.
</t>
  </si>
  <si>
    <t xml:space="preserve">Verificar erros – aceda a Fórmulas &gt; Verificação de Erros. Será apresentada uma caixa de diálogo que o irá informar de um motivo geral para um erro específico. Na célula D9, é apresentado o erro #N/D porque não existe um valor correspondente a "Maçã". Pode corrigir este erro ao utilizar um valor existente, suprimir o erro com a função SE.ERRO ou ignorá-lo, já que irá desaparecer quando utilizar um valor existente.
</t>
  </si>
  <si>
    <t xml:space="preserve">Se clicar em Ajuda para este Erro, será aberto um tópico de ajuda específico para a mensagem de erro em questão. Se clicar em Mostrar Passos do Cálculo, será carregada uma caixa de diálogo Avaliar Fórmula.
</t>
  </si>
  <si>
    <t xml:space="preserve">Cada vez que clicar em Avaliar, o Excel irá orientá-lo por cada secção da fórmula. Não explica por que razão ocorreu um erro, mas irá indicar-lhe em que parte ocorreu. Depois disto, aceda ao tópico de ajuda para perceber o que se passou com a sua fórmula.
</t>
  </si>
  <si>
    <t>EXPERIMENTE
O que está errado aqui? Pista: estamos a tentar aplicar a função SOMA a todos os itens.</t>
  </si>
  <si>
    <t xml:space="preserve">INFORMAÇÕES ÚTEIS
Ao clicar em Opções poderá definir regras para quando forem apresentados ou ignorados erros no Excel.
</t>
  </si>
  <si>
    <t>Detetar erros em fórmulas</t>
  </si>
  <si>
    <t>Como evitar fórmulas quebradas</t>
  </si>
  <si>
    <t>Avaliar uma fórmula aninhada passo a passo</t>
  </si>
  <si>
    <t>Tem mais perguntas sobre o Excel?</t>
  </si>
  <si>
    <t>Prima Alt+H e escreva o que pretende saber.</t>
  </si>
  <si>
    <t>Continue. Ainda há muito mais para saber sobre o Excel:</t>
  </si>
  <si>
    <t xml:space="preserve">Comunidade: Faça perguntas e ligue-se a outros fãs do Excel.
</t>
  </si>
  <si>
    <t xml:space="preserve">Quer saber as novidades?
Os subscritores do Office 365 obtêm atualizações contínuas e novas funcionalidades.
</t>
  </si>
  <si>
    <t xml:space="preserve">Agora, selecione a célula G7 e introduza a função MÁXIMO ao escrever =MÁXIMO(G3:G6).
</t>
  </si>
  <si>
    <t>ºNa fórmula =10+20, 10 e 20 são constantes e o sinal + é o operador.</t>
  </si>
  <si>
    <t>Se esta fórmula falasse, diria "Subtrair a Hora de Saída pela Hora de Entrada e, em seguida, subtrair a Saída para Almoço da Chegada do Almoço. Multiplicar os valores por 24 para converter o valor de tempo fracionário do Excel em horas", ou seja, =((Hora de Saída - Hora de Entrada)-(Saída para Almoço - Chegada do Almoço))*24.</t>
  </si>
  <si>
    <t xml:space="preserve">Na célula C37, introduza =C29&amp;" "&amp;TEXTO(D29;"H:MM"). H:MM é o código do formato português para Horas:Minutos, por exemplo, 13:30.
</t>
  </si>
  <si>
    <t>...Procure nestas células...
 </t>
  </si>
  <si>
    <t>Devolve o menor dos valores da coluna NomeColuna existente na BaseDados segundo o Criterio definido</t>
  </si>
  <si>
    <t>=BDMÍN(BaseDados;NomeColuna;Criterios)</t>
  </si>
  <si>
    <t>Devolve o maior dos valores da coluna NomeColuna existente na BaseDados segundo o Criterio definido</t>
  </si>
  <si>
    <t>=BDMÁX(BaseDados;NomeColuna;Criterios)</t>
  </si>
  <si>
    <t>Devolve a média dos valores da coluna NomeColuna existente na BaseDados segundo o Criterio definido</t>
  </si>
  <si>
    <t>=BDMÉDIA(BaseDados;NomeColuna;Criterios)</t>
  </si>
  <si>
    <t>Devolve a soma dos valores da coluna NomeColuna existente na BaseDados segundo o Criterio definido</t>
  </si>
  <si>
    <t>=BDSOMA(BaseDados;NomeColuna;Criterios)</t>
  </si>
  <si>
    <t>Base de Dados</t>
  </si>
  <si>
    <t>Devolve o valor da tabela correspondente à linha coluna indicada</t>
  </si>
  <si>
    <t>=ÍNDICE($A$4:$A$11;LINHA[;COLUNA])</t>
  </si>
  <si>
    <t>Devolve a posição relativa de um valor num bloco</t>
  </si>
  <si>
    <t>=CORRESP(2;A1:A23)</t>
  </si>
  <si>
    <t>Procura o valor de CÉLU no bloco REFERÊNCIA (organizado horizontalmente) e devolve o valor da linha Nº (PROCURA POR IGUALDADE - 0 ou FALSO como 4º argumento)</t>
  </si>
  <si>
    <t>=PROCH(CÉLU;REFERÊNCIA;NºLI;0)</t>
  </si>
  <si>
    <t>Procura o valor de CÉLU no bloco REFERÊNCIA (organizado horizontalmente) e devolve o valor da linha Nº (PROCURA POR INTERVALO)</t>
  </si>
  <si>
    <t>=PROCH(CÉLU;REFERÊNCIA;NºLI)</t>
  </si>
  <si>
    <t>Procura o valor de CÉLU no bloco REFERÊNCIA (organizado verticalmente) e devolve o valor da coluna Nº (PROCURA POR IGUALDADE - 0 ou FALSO como 4º argumento)</t>
  </si>
  <si>
    <t>=PROCV(CÉLU;REFERÊNCIA;NºCOL;0)</t>
  </si>
  <si>
    <t>Procura o valor de CÉLU no bloco REFERÊNCIA (organizado verticalmente) e devolve o valor da coluna Nº (PROCURA POR INTERVALO)</t>
  </si>
  <si>
    <t>=PROCV(CÉLU;REFERÊNCIA;NºCOL)</t>
  </si>
  <si>
    <t>Procura o valor de CÉLU no bloco REFERÊNCIA e devolve o valor do bloco RESPOSTA</t>
  </si>
  <si>
    <t>=PROC(CÉLU;REFERÊNCIA;RESPOSTA)</t>
  </si>
  <si>
    <t>Consulta e referência</t>
  </si>
  <si>
    <t>devolve FALSO se todas as condições forem FALSAS</t>
  </si>
  <si>
    <t>=OU(CONDIÇÃO1;CONDIÇÃO2)</t>
  </si>
  <si>
    <t>devolve VERDADEIRO se todas as condições forem VERDADE</t>
  </si>
  <si>
    <t>=E(CONDIÇÃO1;CONDIÇÃO2)</t>
  </si>
  <si>
    <t>Devolve um valor (r_verdade) ou outro (r_falso) consuante a análise da condição seja verdadeira ou falsa</t>
  </si>
  <si>
    <t>=SE(CONDIÇÃO;R_VERDADE;R_FALSO)</t>
  </si>
  <si>
    <t>Lógicas</t>
  </si>
  <si>
    <t>Devolve o valor da célula, sem sinal</t>
  </si>
  <si>
    <t>=ABS(B5)</t>
  </si>
  <si>
    <t>Devolve o resto da divisão dos números indicados</t>
  </si>
  <si>
    <t>=RESTO(A2;B2)</t>
  </si>
  <si>
    <t>Devolve a parte inteira do valor existente na célula indicada</t>
  </si>
  <si>
    <t>=INT(A2)</t>
  </si>
  <si>
    <t>Arrendonda o valor da célula indicada para o número de casa décimais definidas</t>
  </si>
  <si>
    <t>=ARRED(A2;2)</t>
  </si>
  <si>
    <t>Arredonda para o inteiro (por defeito) o valor da célula indicada</t>
  </si>
  <si>
    <t>=ARRED.PARA.BAIXO(A2)</t>
  </si>
  <si>
    <t>Arredonda para o próximo inteiro (por excesso) o valor da célula indicada</t>
  </si>
  <si>
    <t>=ARRED.PARA.CIMA(A2)</t>
  </si>
  <si>
    <t>Devolve um valor aleatório entre os valores indicados</t>
  </si>
  <si>
    <t>=ALEATÓRIOENTRE(10;20)</t>
  </si>
  <si>
    <t>Devolve um valor aleatório maior ou igual a zero e menor que 1</t>
  </si>
  <si>
    <t>=ALEATÓRIO()</t>
  </si>
  <si>
    <t>Devolve o resultado da multiplicação das células do bloco, ignorando células vazias</t>
  </si>
  <si>
    <t>=PRODUTO(A1:A3)</t>
  </si>
  <si>
    <t>Devolve o total da soma da multiplicação dos dois blocos de células</t>
  </si>
  <si>
    <t>=SOMARPRODUTO(A1:A23;B1:B23)</t>
  </si>
  <si>
    <t>Devolve o total dos valores, no intervalo indicado, que correspondam ao critério</t>
  </si>
  <si>
    <t>=SOMA.SE(bloco;critério[;bloco a somar])</t>
  </si>
  <si>
    <t>Devolve o total dos valores no intervalo indicado</t>
  </si>
  <si>
    <t>=SOMA(A1:C23)</t>
  </si>
  <si>
    <t>Matemáticas</t>
  </si>
  <si>
    <t>Calcula a frequência com que os valores do intervalo indicado (A2:A20) ocorrem para os limites (B2:B6). Devolve uma matriz  de valores (seleccionar o bloco, editar a formula e confirmar com CTRL+SHIFT+ENTER)</t>
  </si>
  <si>
    <t>=FREQUÊNCIA(A2:A20;B2:B6)</t>
  </si>
  <si>
    <t>Devolve o valor que mais se repete num conjunto de células</t>
  </si>
  <si>
    <t>=MODA(A1:B23)</t>
  </si>
  <si>
    <t>Devolve a média dos valores no intervalo indicado</t>
  </si>
  <si>
    <t>=MÉDIA(A1:C23)</t>
  </si>
  <si>
    <t>Devolve o menor valor no intervalo indicado</t>
  </si>
  <si>
    <t>=MINIMO(A1:C23)</t>
  </si>
  <si>
    <t>Devolve o maior valor no intervalo indicado</t>
  </si>
  <si>
    <t>=MÁXIMO(A1:C23)</t>
  </si>
  <si>
    <t xml:space="preserve">Devolve o número de células, no intervalo indicado, que correspondam ao critério </t>
  </si>
  <si>
    <t>=CONTAR.SE(A1:C23;Critério)</t>
  </si>
  <si>
    <t>Devolve o número de células vazias com números no intervalo indicado</t>
  </si>
  <si>
    <t>=CONTAR.VAZIO(A1:C23)</t>
  </si>
  <si>
    <t>Devolve o número de células ocupadas no intervalo indicado</t>
  </si>
  <si>
    <t>=CONTAR.VAL(A1:C23)</t>
  </si>
  <si>
    <t>Devolve o número de células ocupadas com números no intervalo indicado</t>
  </si>
  <si>
    <t>=CONTAR(A1:C23)</t>
  </si>
  <si>
    <t>Estatistica</t>
  </si>
  <si>
    <t>Devolve, a partir do caracter x (2 no exemplo),os n caracteres (3 no exemplo) a parttir da esquerda</t>
  </si>
  <si>
    <t>=SEG.TEXTO("EXCEL";2;3)</t>
  </si>
  <si>
    <t>Devolve os n caracteres (2 no exemplo) a parttir da direita</t>
  </si>
  <si>
    <t>=DIREITA("EXCEL";2)</t>
  </si>
  <si>
    <t>Devolve os n caracteres (2 no exemplo) a parttir da esquerda</t>
  </si>
  <si>
    <t>=ESQUERDA("EXCEL";2)</t>
  </si>
  <si>
    <t>Junta o conteúdo dos parâmetros indicados numa única "String" de texto (bloco de texto)</t>
  </si>
  <si>
    <r>
      <t>=A1</t>
    </r>
    <r>
      <rPr>
        <b/>
        <sz val="10"/>
        <rFont val="Arial"/>
        <family val="2"/>
      </rPr>
      <t>&amp;</t>
    </r>
    <r>
      <rPr>
        <sz val="10"/>
        <rFont val="Arial"/>
        <family val="2"/>
      </rPr>
      <t>" "</t>
    </r>
    <r>
      <rPr>
        <b/>
        <sz val="10"/>
        <rFont val="Arial"/>
        <family val="2"/>
      </rPr>
      <t>&amp;</t>
    </r>
    <r>
      <rPr>
        <sz val="10"/>
        <rFont val="Arial"/>
        <family val="2"/>
      </rPr>
      <t>B1</t>
    </r>
  </si>
  <si>
    <t>=CONCATENAR(A1;" ";B1)</t>
  </si>
  <si>
    <t>TEXTO</t>
  </si>
  <si>
    <t>Devolve os HORAS da data/hora indicada</t>
  </si>
  <si>
    <t>=HORA(12:20:30)</t>
  </si>
  <si>
    <t>Devolve os MINUTOS da data/hora indicada</t>
  </si>
  <si>
    <t>=MINUTO(12:20:30)</t>
  </si>
  <si>
    <t>Devolve os SEGUNDOS da data/hora indicada</t>
  </si>
  <si>
    <t>=SEGUNDO(12:20:30)</t>
  </si>
  <si>
    <t>Devolve o Nº do dia da semana da data indicada</t>
  </si>
  <si>
    <t>=DIA.SEMANA(18-09-2008)</t>
  </si>
  <si>
    <t>Devolve o Nº de dias entre as duas datas, considerando que o Ano são 12 meses de 30 dias.</t>
  </si>
  <si>
    <t>=DIA360(18-09-2001;01-01-2001)</t>
  </si>
  <si>
    <t>Devolve o DIA da data indicada</t>
  </si>
  <si>
    <t>=DIA(18-09-2008)</t>
  </si>
  <si>
    <t>Devolve o Mês da data indicada</t>
  </si>
  <si>
    <t>=MÊS(18-09-2008)</t>
  </si>
  <si>
    <t>Devolve o ANO da data indicada</t>
  </si>
  <si>
    <t>=ANO(18-09-2008)</t>
  </si>
  <si>
    <t>Devolve a data actual</t>
  </si>
  <si>
    <t>=HOJE()</t>
  </si>
  <si>
    <t>Devolve a data e hora actuais</t>
  </si>
  <si>
    <t>=AGORA()</t>
  </si>
  <si>
    <t>Data e Hora</t>
  </si>
  <si>
    <t>Resumo de Funções</t>
  </si>
  <si>
    <t>05/03/2025</t>
  </si>
  <si>
    <t>CONCATENAR</t>
  </si>
  <si>
    <t>=</t>
  </si>
  <si>
    <r>
      <t>A$1</t>
    </r>
    <r>
      <rPr>
        <sz val="11"/>
        <color theme="1"/>
        <rFont val="Segoe UI Emoji"/>
        <family val="2"/>
      </rPr>
      <t xml:space="preserve"> → Fixa </t>
    </r>
    <r>
      <rPr>
        <b/>
        <sz val="11"/>
        <color theme="1"/>
        <rFont val="Segoe UI Emoji"/>
        <family val="2"/>
      </rPr>
      <t>a linha</t>
    </r>
    <r>
      <rPr>
        <sz val="11"/>
        <color theme="1"/>
        <rFont val="Segoe UI Emoji"/>
        <family val="2"/>
      </rPr>
      <t>, mas permite que a coluna mude ao copiar.</t>
    </r>
  </si>
  <si>
    <r>
      <t>$A1</t>
    </r>
    <r>
      <rPr>
        <sz val="11"/>
        <color theme="1"/>
        <rFont val="Segoe UI Emoji"/>
        <family val="2"/>
      </rPr>
      <t xml:space="preserve"> → Fixa </t>
    </r>
    <r>
      <rPr>
        <b/>
        <sz val="11"/>
        <color theme="1"/>
        <rFont val="Segoe UI Emoji"/>
        <family val="2"/>
      </rPr>
      <t>a coluna</t>
    </r>
    <r>
      <rPr>
        <sz val="11"/>
        <color theme="1"/>
        <rFont val="Segoe UI Emoji"/>
        <family val="2"/>
      </rPr>
      <t>, mas permite que a linha mude ao copiar.</t>
    </r>
  </si>
  <si>
    <r>
      <t xml:space="preserve">📌 </t>
    </r>
    <r>
      <rPr>
        <b/>
        <sz val="11"/>
        <color rgb="FFFFC000"/>
        <rFont val="Segoe UI Emoji"/>
        <family val="2"/>
      </rPr>
      <t>Mista (</t>
    </r>
    <r>
      <rPr>
        <b/>
        <sz val="10"/>
        <color rgb="FFFFC000"/>
        <rFont val="Segoe UI Emoji"/>
        <family val="2"/>
      </rPr>
      <t>$A1</t>
    </r>
    <r>
      <rPr>
        <b/>
        <sz val="11"/>
        <color rgb="FFFFC000"/>
        <rFont val="Segoe UI Emoji"/>
        <family val="2"/>
      </rPr>
      <t xml:space="preserve"> ou </t>
    </r>
    <r>
      <rPr>
        <b/>
        <sz val="10"/>
        <color rgb="FFFFC000"/>
        <rFont val="Segoe UI Emoji"/>
        <family val="2"/>
      </rPr>
      <t>A$1</t>
    </r>
    <r>
      <rPr>
        <b/>
        <sz val="11"/>
        <color rgb="FFFFC000"/>
        <rFont val="Segoe UI Emoji"/>
        <family val="2"/>
      </rPr>
      <t>)</t>
    </r>
  </si>
  <si>
    <r>
      <t xml:space="preserve">Exemplo: Se escrever </t>
    </r>
    <r>
      <rPr>
        <sz val="10"/>
        <color theme="1"/>
        <rFont val="Segoe UI Emoji"/>
        <family val="2"/>
      </rPr>
      <t>=$A$1</t>
    </r>
    <r>
      <rPr>
        <sz val="11"/>
        <color theme="1"/>
        <rFont val="Segoe UI Emoji"/>
        <family val="2"/>
      </rPr>
      <t xml:space="preserve"> e copiar para outras células, todas continuarão a referenciar A1.</t>
    </r>
  </si>
  <si>
    <t>A referência não muda ao copiar a fórmula.</t>
  </si>
  <si>
    <r>
      <t xml:space="preserve">📌 </t>
    </r>
    <r>
      <rPr>
        <b/>
        <sz val="11"/>
        <color rgb="FF0070C0"/>
        <rFont val="Segoe UI Emoji"/>
        <family val="2"/>
      </rPr>
      <t>Absoluta (</t>
    </r>
    <r>
      <rPr>
        <b/>
        <sz val="10"/>
        <color rgb="FF0070C0"/>
        <rFont val="Segoe UI Emoji"/>
        <family val="2"/>
      </rPr>
      <t>$A$1</t>
    </r>
    <r>
      <rPr>
        <b/>
        <sz val="11"/>
        <color rgb="FF0070C0"/>
        <rFont val="Segoe UI Emoji"/>
        <family val="2"/>
      </rPr>
      <t>)</t>
    </r>
  </si>
  <si>
    <r>
      <t xml:space="preserve">Exemplo: Se escrever </t>
    </r>
    <r>
      <rPr>
        <sz val="10"/>
        <color theme="1"/>
        <rFont val="Segoe UI Emoji"/>
        <family val="2"/>
      </rPr>
      <t>=A1</t>
    </r>
    <r>
      <rPr>
        <sz val="11"/>
        <color theme="1"/>
        <rFont val="Segoe UI Emoji"/>
        <family val="2"/>
      </rPr>
      <t xml:space="preserve"> em B1 e copiar para B2, a fórmula mudará para </t>
    </r>
    <r>
      <rPr>
        <sz val="10"/>
        <color theme="1"/>
        <rFont val="Segoe UI Emoji"/>
        <family val="2"/>
      </rPr>
      <t>=A2</t>
    </r>
    <r>
      <rPr>
        <sz val="11"/>
        <color theme="1"/>
        <rFont val="Segoe UI Emoji"/>
        <family val="2"/>
      </rPr>
      <t>.</t>
    </r>
  </si>
  <si>
    <t>A referência muda ao copiar a fórmula.</t>
  </si>
  <si>
    <r>
      <t xml:space="preserve">📌 </t>
    </r>
    <r>
      <rPr>
        <b/>
        <sz val="11"/>
        <color rgb="FF217346"/>
        <rFont val="Segoe UI Emoji"/>
        <family val="2"/>
      </rPr>
      <t>Relativa (</t>
    </r>
    <r>
      <rPr>
        <b/>
        <sz val="10"/>
        <color rgb="FF217346"/>
        <rFont val="Segoe UI Emoji"/>
        <family val="2"/>
      </rPr>
      <t>A1</t>
    </r>
    <r>
      <rPr>
        <b/>
        <sz val="11"/>
        <color rgb="FF217346"/>
        <rFont val="Segoe UI Emoji"/>
        <family val="2"/>
      </rPr>
      <t>)</t>
    </r>
  </si>
  <si>
    <t>A</t>
  </si>
  <si>
    <r>
      <t xml:space="preserve">Tipos de Referências com </t>
    </r>
    <r>
      <rPr>
        <b/>
        <sz val="10"/>
        <color theme="1"/>
        <rFont val="Segoe UI Emoji"/>
        <family val="2"/>
      </rPr>
      <t>$</t>
    </r>
  </si>
  <si>
    <t>Se A1 for alterado, a célula que contém =A1 será automaticamente atualizada.</t>
  </si>
  <si>
    <t>Informa o Excel que a célula contém uma fórmula e que deve obter o valor da célula A1.</t>
  </si>
  <si>
    <r>
      <rPr>
        <b/>
        <sz val="11"/>
        <color theme="1"/>
        <rFont val="Segoe UI Emoji"/>
        <family val="2"/>
      </rPr>
      <t>=A1</t>
    </r>
    <r>
      <rPr>
        <sz val="11"/>
        <color theme="1"/>
        <rFont val="Segoe UI Emoji"/>
        <family val="2"/>
      </rPr>
      <t xml:space="preserve"> → </t>
    </r>
    <r>
      <rPr>
        <b/>
        <sz val="11"/>
        <color theme="1"/>
        <rFont val="Segoe UI Emoji"/>
        <family val="2"/>
      </rPr>
      <t>Referência Usada numa Fórmula</t>
    </r>
  </si>
  <si>
    <t xml:space="preserve">📌 </t>
  </si>
  <si>
    <t>Apenas indica a posição da célula dentro da folha de cálculo.</t>
  </si>
  <si>
    <r>
      <rPr>
        <b/>
        <sz val="11"/>
        <color theme="1"/>
        <rFont val="Segoe UI Emoji"/>
        <family val="2"/>
      </rPr>
      <t>A1</t>
    </r>
    <r>
      <rPr>
        <sz val="11"/>
        <color theme="1"/>
        <rFont val="Segoe UI Emoji"/>
        <family val="2"/>
      </rPr>
      <t xml:space="preserve"> → </t>
    </r>
    <r>
      <rPr>
        <b/>
        <sz val="11"/>
        <color theme="1"/>
        <rFont val="Segoe UI Emoji"/>
        <family val="2"/>
      </rPr>
      <t>Endereço da Célula</t>
    </r>
  </si>
  <si>
    <t>👇</t>
  </si>
  <si>
    <t>Linha</t>
  </si>
  <si>
    <t>Coluna</t>
  </si>
  <si>
    <t>Se o valor na célula referenciada muda, todas as fórmulas que dependem dessa célula (referência) são automaticamente atualizadas.</t>
  </si>
  <si>
    <t>Indica ao Excel onde localizar os valores ou dados a serem utilizados.</t>
  </si>
  <si>
    <t>Referência de uma Célula:</t>
  </si>
  <si>
    <t>endereço da célula</t>
  </si>
  <si>
    <t>&lt;=&gt;</t>
  </si>
  <si>
    <t>Referencia</t>
  </si>
  <si>
    <t>+</t>
  </si>
  <si>
    <t>=C4+E4</t>
  </si>
  <si>
    <t>ou</t>
  </si>
  <si>
    <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</si>
</sst>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8" formatCode="#,##0.00\ &quot;€&quot;;[Red]\-#,##0.00\ &quot;€&quot;"/>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mm/yy;@"/>
    <numFmt numFmtId="167" formatCode="h:mm;@"/>
    <numFmt numFmtId="168" formatCode="[$-409]d/m/yy\ h:mm\ AM/PM;@"/>
  </numFmts>
  <fonts count="70"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b/>
      <sz val="11"/>
      <color theme="4"/>
      <name val="Segoe UI Black"/>
      <family val="2"/>
    </font>
    <font>
      <b/>
      <sz val="11"/>
      <color theme="0"/>
      <name val="Calibri"/>
      <family val="2"/>
    </font>
    <font>
      <u/>
      <sz val="11"/>
      <color theme="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0"/>
      <name val="Arial"/>
      <family val="2"/>
    </font>
    <font>
      <b/>
      <sz val="10"/>
      <name val="Arial"/>
      <family val="2"/>
    </font>
    <font>
      <b/>
      <sz val="18"/>
      <color theme="0"/>
      <name val="Arial"/>
      <family val="2"/>
    </font>
    <font>
      <b/>
      <sz val="16"/>
      <color rgb="FFFF0000"/>
      <name val="Calibri"/>
      <family val="2"/>
      <scheme val="minor"/>
    </font>
    <font>
      <sz val="11"/>
      <color theme="1"/>
      <name val="Segoe UI Emoji"/>
      <family val="2"/>
    </font>
    <font>
      <b/>
      <sz val="10"/>
      <color theme="1"/>
      <name val="Segoe UI Emoji"/>
      <family val="2"/>
    </font>
    <font>
      <b/>
      <sz val="11"/>
      <color theme="1"/>
      <name val="Segoe UI Emoji"/>
      <family val="2"/>
    </font>
    <font>
      <sz val="11"/>
      <color rgb="FFFFC000"/>
      <name val="Segoe UI Emoji"/>
      <family val="2"/>
    </font>
    <font>
      <b/>
      <sz val="11"/>
      <color rgb="FFFFC000"/>
      <name val="Segoe UI Emoji"/>
      <family val="2"/>
    </font>
    <font>
      <b/>
      <sz val="10"/>
      <color rgb="FFFFC000"/>
      <name val="Segoe UI Emoji"/>
      <family val="2"/>
    </font>
    <font>
      <sz val="10"/>
      <color theme="1"/>
      <name val="Segoe UI Emoji"/>
      <family val="2"/>
    </font>
    <font>
      <sz val="11"/>
      <color rgb="FF0070C0"/>
      <name val="Segoe UI Emoji"/>
      <family val="2"/>
    </font>
    <font>
      <b/>
      <sz val="11"/>
      <color rgb="FF0070C0"/>
      <name val="Segoe UI Emoji"/>
      <family val="2"/>
    </font>
    <font>
      <b/>
      <sz val="10"/>
      <color rgb="FF0070C0"/>
      <name val="Segoe UI Emoji"/>
      <family val="2"/>
    </font>
    <font>
      <sz val="11"/>
      <color rgb="FF217346"/>
      <name val="Segoe UI Emoji"/>
      <family val="2"/>
    </font>
    <font>
      <b/>
      <sz val="11"/>
      <color rgb="FF217346"/>
      <name val="Segoe UI Emoji"/>
      <family val="2"/>
    </font>
    <font>
      <b/>
      <sz val="10"/>
      <color rgb="FF217346"/>
      <name val="Segoe UI Emoji"/>
      <family val="2"/>
    </font>
    <font>
      <b/>
      <sz val="13.5"/>
      <color theme="1"/>
      <name val="Segoe UI Emoji"/>
      <family val="2"/>
    </font>
    <font>
      <sz val="16"/>
      <color theme="5" tint="-0.249977111117893"/>
      <name val="Segoe UI Emoji"/>
      <family val="2"/>
    </font>
    <font>
      <sz val="16"/>
      <color theme="1"/>
      <name val="Segoe UI Emoji"/>
      <family val="2"/>
    </font>
    <font>
      <sz val="11"/>
      <color theme="9" tint="-0.249977111117893"/>
      <name val="Segoe UI Emoji"/>
      <family val="2"/>
    </font>
  </fonts>
  <fills count="38">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3">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
      <left/>
      <right/>
      <top/>
      <bottom style="thin">
        <color theme="0" tint="-0.499984740745262"/>
      </bottom>
      <diagonal/>
    </border>
    <border>
      <left/>
      <right/>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n">
        <color indexed="64"/>
      </top>
      <bottom style="thin">
        <color indexed="64"/>
      </bottom>
      <diagonal/>
    </border>
  </borders>
  <cellStyleXfs count="69">
    <xf numFmtId="0" fontId="0" fillId="0" borderId="0"/>
    <xf numFmtId="0" fontId="7" fillId="0" borderId="0" applyFill="0" applyBorder="0">
      <alignment wrapText="1"/>
    </xf>
    <xf numFmtId="0" fontId="4" fillId="0" borderId="0"/>
    <xf numFmtId="0" fontId="8" fillId="2" borderId="0" applyNumberFormat="0" applyBorder="0" applyProtection="0">
      <alignment horizontal="left" indent="1"/>
    </xf>
    <xf numFmtId="0" fontId="9" fillId="2" borderId="0" applyNumberFormat="0" applyProtection="0">
      <alignment horizontal="left" wrapText="1" indent="4"/>
    </xf>
    <xf numFmtId="0" fontId="7" fillId="2" borderId="0" applyNumberFormat="0" applyProtection="0">
      <alignment horizontal="left" wrapText="1" indent="4"/>
    </xf>
    <xf numFmtId="0" fontId="10" fillId="0" borderId="0"/>
    <xf numFmtId="0" fontId="10" fillId="3" borderId="0" applyNumberFormat="0" applyBorder="0" applyProtection="0"/>
    <xf numFmtId="0" fontId="4" fillId="4" borderId="0"/>
    <xf numFmtId="0" fontId="4" fillId="5" borderId="1"/>
    <xf numFmtId="0" fontId="4" fillId="4" borderId="2"/>
    <xf numFmtId="0" fontId="4" fillId="0" borderId="0"/>
    <xf numFmtId="0" fontId="4" fillId="4" borderId="0"/>
    <xf numFmtId="0" fontId="4" fillId="5" borderId="1"/>
    <xf numFmtId="0" fontId="4" fillId="4" borderId="2"/>
    <xf numFmtId="0" fontId="4" fillId="0" borderId="0"/>
    <xf numFmtId="0" fontId="23" fillId="0" borderId="0" applyNumberFormat="0" applyFill="0" applyBorder="0" applyAlignment="0" applyProtection="0"/>
    <xf numFmtId="0" fontId="4" fillId="4" borderId="0"/>
    <xf numFmtId="0" fontId="4" fillId="5" borderId="1"/>
    <xf numFmtId="0" fontId="4" fillId="4" borderId="2"/>
    <xf numFmtId="0" fontId="35" fillId="0" borderId="0" applyNumberFormat="0" applyFill="0" applyBorder="0" applyAlignment="0" applyProtection="0"/>
    <xf numFmtId="165" fontId="18" fillId="0" borderId="0" applyFont="0" applyFill="0" applyBorder="0" applyAlignment="0" applyProtection="0"/>
    <xf numFmtId="164" fontId="18"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xf numFmtId="9" fontId="18" fillId="0" borderId="0" applyFont="0" applyFill="0" applyBorder="0" applyAlignment="0" applyProtection="0"/>
    <xf numFmtId="0" fontId="36" fillId="0" borderId="0" applyNumberFormat="0" applyFill="0" applyBorder="0" applyAlignment="0" applyProtection="0"/>
    <xf numFmtId="0" fontId="37" fillId="0" borderId="14" applyNumberFormat="0" applyFill="0" applyAlignment="0" applyProtection="0"/>
    <xf numFmtId="0" fontId="38" fillId="0" borderId="15" applyNumberFormat="0" applyFill="0" applyAlignment="0" applyProtection="0"/>
    <xf numFmtId="0" fontId="39" fillId="0" borderId="16" applyNumberFormat="0" applyFill="0" applyAlignment="0" applyProtection="0"/>
    <xf numFmtId="0" fontId="39" fillId="0" borderId="0" applyNumberFormat="0" applyFill="0" applyBorder="0" applyAlignment="0" applyProtection="0"/>
    <xf numFmtId="0" fontId="40" fillId="7" borderId="0" applyNumberFormat="0" applyBorder="0" applyAlignment="0" applyProtection="0"/>
    <xf numFmtId="0" fontId="41" fillId="8" borderId="0" applyNumberFormat="0" applyBorder="0" applyAlignment="0" applyProtection="0"/>
    <xf numFmtId="0" fontId="42" fillId="9" borderId="0" applyNumberFormat="0" applyBorder="0" applyAlignment="0" applyProtection="0"/>
    <xf numFmtId="0" fontId="43" fillId="10" borderId="17" applyNumberFormat="0" applyAlignment="0" applyProtection="0"/>
    <xf numFmtId="0" fontId="44" fillId="11" borderId="18" applyNumberFormat="0" applyAlignment="0" applyProtection="0"/>
    <xf numFmtId="0" fontId="45" fillId="11" borderId="17" applyNumberFormat="0" applyAlignment="0" applyProtection="0"/>
    <xf numFmtId="0" fontId="46" fillId="0" borderId="19" applyNumberFormat="0" applyFill="0" applyAlignment="0" applyProtection="0"/>
    <xf numFmtId="0" fontId="20" fillId="12" borderId="20" applyNumberFormat="0" applyAlignment="0" applyProtection="0"/>
    <xf numFmtId="0" fontId="47" fillId="0" borderId="0" applyNumberFormat="0" applyFill="0" applyBorder="0" applyAlignment="0" applyProtection="0"/>
    <xf numFmtId="0" fontId="18" fillId="13" borderId="1" applyNumberFormat="0" applyFont="0" applyAlignment="0" applyProtection="0"/>
    <xf numFmtId="0" fontId="48" fillId="0" borderId="0" applyNumberFormat="0" applyFill="0" applyBorder="0" applyAlignment="0" applyProtection="0"/>
    <xf numFmtId="0" fontId="12" fillId="0" borderId="21" applyNumberFormat="0" applyFill="0" applyAlignment="0" applyProtection="0"/>
    <xf numFmtId="0" fontId="10"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10"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0"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0"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0"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0"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9" fillId="0" borderId="0"/>
    <xf numFmtId="0" fontId="1" fillId="0" borderId="0"/>
  </cellStyleXfs>
  <cellXfs count="169">
    <xf numFmtId="0" fontId="0" fillId="0" borderId="0" xfId="0"/>
    <xf numFmtId="0" fontId="4" fillId="0" borderId="0" xfId="2"/>
    <xf numFmtId="0" fontId="9" fillId="2" borderId="0" xfId="4">
      <alignment horizontal="left" wrapText="1" indent="4"/>
    </xf>
    <xf numFmtId="0" fontId="7" fillId="2" borderId="0" xfId="5">
      <alignment horizontal="left" wrapText="1" indent="4"/>
    </xf>
    <xf numFmtId="0" fontId="4" fillId="0" borderId="0" xfId="2" applyAlignment="1">
      <alignment horizontal="left"/>
    </xf>
    <xf numFmtId="0" fontId="11" fillId="0" borderId="0" xfId="0" applyFont="1"/>
    <xf numFmtId="0" fontId="11" fillId="0" borderId="0" xfId="0" applyFont="1" applyAlignment="1">
      <alignment horizontal="left" indent="1"/>
    </xf>
    <xf numFmtId="0" fontId="10" fillId="3" borderId="0" xfId="7"/>
    <xf numFmtId="0" fontId="10" fillId="3" borderId="0" xfId="7" applyAlignment="1">
      <alignment horizontal="right"/>
    </xf>
    <xf numFmtId="0" fontId="10" fillId="0" borderId="0" xfId="6"/>
    <xf numFmtId="0" fontId="12" fillId="0" borderId="0" xfId="2" applyFont="1" applyAlignment="1">
      <alignment horizontal="left"/>
    </xf>
    <xf numFmtId="0" fontId="10" fillId="3" borderId="0" xfId="7" applyAlignment="1">
      <alignment horizontal="left"/>
    </xf>
    <xf numFmtId="14" fontId="0" fillId="0" borderId="0" xfId="0" applyNumberFormat="1"/>
    <xf numFmtId="0" fontId="4" fillId="4" borderId="0" xfId="12"/>
    <xf numFmtId="0" fontId="13" fillId="0" borderId="0" xfId="0" applyFont="1"/>
    <xf numFmtId="0" fontId="13" fillId="0" borderId="0" xfId="2" applyFont="1" applyAlignment="1">
      <alignment horizontal="left"/>
    </xf>
    <xf numFmtId="0" fontId="13" fillId="0" borderId="0" xfId="6" applyFont="1"/>
    <xf numFmtId="0" fontId="14" fillId="0" borderId="0" xfId="0" applyFont="1"/>
    <xf numFmtId="0" fontId="15" fillId="0" borderId="0" xfId="2" applyFont="1"/>
    <xf numFmtId="0" fontId="17" fillId="0" borderId="0" xfId="0" applyFont="1"/>
    <xf numFmtId="0" fontId="15" fillId="0" borderId="0" xfId="2" applyFont="1" applyAlignment="1">
      <alignment horizontal="left"/>
    </xf>
    <xf numFmtId="0" fontId="18" fillId="0" borderId="0" xfId="0" applyFont="1"/>
    <xf numFmtId="0" fontId="16" fillId="0" borderId="0" xfId="6" applyFont="1"/>
    <xf numFmtId="0" fontId="12" fillId="0" borderId="0" xfId="2" applyFont="1" applyAlignment="1">
      <alignment horizontal="right"/>
    </xf>
    <xf numFmtId="0" fontId="10" fillId="0" borderId="0" xfId="2" applyFont="1" applyAlignment="1">
      <alignment horizontal="left"/>
    </xf>
    <xf numFmtId="0" fontId="19" fillId="0" borderId="0" xfId="0" applyFont="1"/>
    <xf numFmtId="0" fontId="19" fillId="0" borderId="0" xfId="0" quotePrefix="1" applyFont="1"/>
    <xf numFmtId="0" fontId="19" fillId="0" borderId="0" xfId="0" applyFont="1" applyAlignment="1">
      <alignment wrapText="1"/>
    </xf>
    <xf numFmtId="0" fontId="20" fillId="3" borderId="0" xfId="7" applyFont="1" applyAlignment="1">
      <alignment horizontal="left"/>
    </xf>
    <xf numFmtId="0" fontId="20" fillId="3" borderId="0" xfId="7" applyFont="1" applyAlignment="1">
      <alignment horizontal="right"/>
    </xf>
    <xf numFmtId="0" fontId="0" fillId="0" borderId="0" xfId="0" applyAlignment="1">
      <alignment vertical="center"/>
    </xf>
    <xf numFmtId="0" fontId="20" fillId="3" borderId="0" xfId="7" applyFont="1"/>
    <xf numFmtId="0" fontId="4" fillId="0" borderId="0" xfId="15"/>
    <xf numFmtId="0" fontId="21" fillId="0" borderId="0" xfId="15" applyFont="1"/>
    <xf numFmtId="0" fontId="22" fillId="0" borderId="0" xfId="15" applyFont="1"/>
    <xf numFmtId="0" fontId="22" fillId="0" borderId="0" xfId="15" applyFont="1" applyAlignment="1">
      <alignment vertical="center"/>
    </xf>
    <xf numFmtId="0" fontId="10" fillId="0" borderId="0" xfId="6" applyAlignment="1">
      <alignment wrapText="1"/>
    </xf>
    <xf numFmtId="0" fontId="6" fillId="0" borderId="0" xfId="2" applyFont="1"/>
    <xf numFmtId="0" fontId="6" fillId="0" borderId="0" xfId="2" applyFont="1" applyAlignment="1">
      <alignment horizontal="left"/>
    </xf>
    <xf numFmtId="0" fontId="6" fillId="0" borderId="0" xfId="2" applyFont="1" applyAlignment="1">
      <alignment horizontal="right"/>
    </xf>
    <xf numFmtId="0" fontId="6" fillId="4" borderId="0" xfId="8" applyFont="1"/>
    <xf numFmtId="0" fontId="6" fillId="4" borderId="0" xfId="8" applyFont="1" applyAlignment="1">
      <alignment horizontal="right"/>
    </xf>
    <xf numFmtId="0" fontId="6" fillId="5" borderId="1" xfId="9" applyFont="1" applyAlignment="1">
      <alignment horizontal="right"/>
    </xf>
    <xf numFmtId="0" fontId="11" fillId="0" borderId="0" xfId="0" applyFont="1" applyAlignment="1">
      <alignment horizontal="center"/>
    </xf>
    <xf numFmtId="0" fontId="6" fillId="0" borderId="0" xfId="2" applyFont="1" applyAlignment="1">
      <alignment horizontal="left" indent="1"/>
    </xf>
    <xf numFmtId="0" fontId="11" fillId="0" borderId="0" xfId="0" applyFont="1" applyAlignment="1">
      <alignment horizontal="left" indent="2"/>
    </xf>
    <xf numFmtId="0" fontId="6" fillId="4" borderId="2" xfId="10" applyFont="1"/>
    <xf numFmtId="0" fontId="6" fillId="5" borderId="1" xfId="9" applyFont="1" applyAlignment="1">
      <alignment horizontal="right" vertical="center"/>
    </xf>
    <xf numFmtId="0" fontId="6" fillId="0" borderId="0" xfId="2" applyFont="1" applyAlignment="1">
      <alignment horizontal="center"/>
    </xf>
    <xf numFmtId="0" fontId="6" fillId="0" borderId="0" xfId="2" quotePrefix="1" applyFont="1" applyAlignment="1">
      <alignment horizontal="left"/>
    </xf>
    <xf numFmtId="0" fontId="6" fillId="0" borderId="0" xfId="2" applyFont="1" applyAlignment="1">
      <alignment horizontal="left" indent="2"/>
    </xf>
    <xf numFmtId="0" fontId="6" fillId="0" borderId="0" xfId="11" applyFont="1" applyAlignment="1">
      <alignment horizontal="left" indent="1"/>
    </xf>
    <xf numFmtId="0" fontId="6" fillId="4" borderId="2" xfId="14" applyFont="1"/>
    <xf numFmtId="0" fontId="6" fillId="4" borderId="2" xfId="10" applyFont="1" applyAlignment="1">
      <alignment horizontal="center" vertical="center"/>
    </xf>
    <xf numFmtId="0" fontId="6" fillId="4" borderId="2" xfId="10" applyFont="1" applyAlignment="1">
      <alignment horizontal="left"/>
    </xf>
    <xf numFmtId="0" fontId="4" fillId="5" borderId="1" xfId="9"/>
    <xf numFmtId="0" fontId="0" fillId="0" borderId="3" xfId="0" applyBorder="1" applyAlignment="1">
      <alignment vertical="center"/>
    </xf>
    <xf numFmtId="0" fontId="4" fillId="5" borderId="1" xfId="18"/>
    <xf numFmtId="0" fontId="24" fillId="0" borderId="0" xfId="0" applyFont="1"/>
    <xf numFmtId="0" fontId="4" fillId="4" borderId="0" xfId="17"/>
    <xf numFmtId="0" fontId="23" fillId="0" borderId="0" xfId="16"/>
    <xf numFmtId="0" fontId="25" fillId="2" borderId="0" xfId="3" applyFont="1">
      <alignment horizontal="left" indent="1"/>
    </xf>
    <xf numFmtId="0" fontId="20" fillId="3" borderId="4" xfId="7" applyFont="1" applyBorder="1" applyAlignment="1">
      <alignment horizontal="left" vertical="center"/>
    </xf>
    <xf numFmtId="0" fontId="20" fillId="3" borderId="4" xfId="7" applyFont="1" applyBorder="1" applyAlignment="1">
      <alignment horizontal="right" vertical="center"/>
    </xf>
    <xf numFmtId="0" fontId="0" fillId="6" borderId="4" xfId="0" applyFill="1" applyBorder="1" applyAlignment="1">
      <alignment vertical="center"/>
    </xf>
    <xf numFmtId="0" fontId="26" fillId="0" borderId="0" xfId="0" applyFont="1" applyAlignment="1">
      <alignment horizontal="centerContinuous" vertical="center"/>
    </xf>
    <xf numFmtId="0" fontId="18" fillId="0" borderId="0" xfId="0" applyFont="1" applyAlignment="1">
      <alignment horizontal="centerContinuous"/>
    </xf>
    <xf numFmtId="0" fontId="10" fillId="3" borderId="0" xfId="7" applyAlignment="1">
      <alignment horizontal="center" vertical="center"/>
    </xf>
    <xf numFmtId="0" fontId="28" fillId="0" borderId="0" xfId="11" applyFont="1"/>
    <xf numFmtId="0" fontId="29" fillId="0" borderId="0" xfId="0" applyFont="1" applyAlignment="1">
      <alignment horizontal="centerContinuous" vertical="center"/>
    </xf>
    <xf numFmtId="0" fontId="30" fillId="0" borderId="0" xfId="11" applyFont="1" applyAlignment="1">
      <alignment horizontal="centerContinuous"/>
    </xf>
    <xf numFmtId="0" fontId="30" fillId="0" borderId="0" xfId="11" applyFont="1"/>
    <xf numFmtId="0" fontId="27" fillId="3" borderId="0" xfId="7" applyFont="1"/>
    <xf numFmtId="0" fontId="27" fillId="3" borderId="0" xfId="7" applyFont="1" applyAlignment="1">
      <alignment horizontal="right"/>
    </xf>
    <xf numFmtId="0" fontId="31" fillId="0" borderId="0" xfId="11" applyFont="1"/>
    <xf numFmtId="0" fontId="30" fillId="0" borderId="0" xfId="11" applyFont="1" applyAlignment="1">
      <alignment horizontal="left"/>
    </xf>
    <xf numFmtId="0" fontId="31" fillId="0" borderId="0" xfId="11" applyFont="1" applyAlignment="1">
      <alignment horizontal="left"/>
    </xf>
    <xf numFmtId="0" fontId="32" fillId="0" borderId="0" xfId="0" applyFont="1"/>
    <xf numFmtId="0" fontId="30" fillId="4" borderId="2" xfId="14" applyFont="1"/>
    <xf numFmtId="0" fontId="30" fillId="5" borderId="1" xfId="13" applyFont="1" applyAlignment="1">
      <alignment horizontal="right"/>
    </xf>
    <xf numFmtId="0" fontId="6" fillId="0" borderId="0" xfId="2" applyFont="1" applyAlignment="1">
      <alignment horizontal="centerContinuous"/>
    </xf>
    <xf numFmtId="0" fontId="0" fillId="0" borderId="0" xfId="0" applyAlignment="1">
      <alignment horizontal="centerContinuous"/>
    </xf>
    <xf numFmtId="0" fontId="10" fillId="0" borderId="0" xfId="6" applyAlignment="1">
      <alignment horizontal="centerContinuous"/>
    </xf>
    <xf numFmtId="0" fontId="4" fillId="4" borderId="2" xfId="10"/>
    <xf numFmtId="0" fontId="5"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10" fillId="0" borderId="0" xfId="2" applyFont="1" applyAlignment="1">
      <alignment horizontal="left" wrapText="1"/>
    </xf>
    <xf numFmtId="0" fontId="13" fillId="0" borderId="0" xfId="0" applyFont="1" applyAlignment="1">
      <alignment wrapText="1"/>
    </xf>
    <xf numFmtId="0" fontId="13" fillId="0" borderId="0" xfId="2" applyFont="1" applyAlignment="1">
      <alignment horizontal="left" wrapText="1"/>
    </xf>
    <xf numFmtId="0" fontId="33" fillId="0" borderId="0" xfId="0" applyFont="1"/>
    <xf numFmtId="0" fontId="29" fillId="0" borderId="0" xfId="0" applyFont="1" applyAlignment="1">
      <alignment horizontal="center" vertical="center"/>
    </xf>
    <xf numFmtId="0" fontId="29"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4" fillId="5" borderId="5" xfId="18" applyBorder="1"/>
    <xf numFmtId="0" fontId="4" fillId="4" borderId="6" xfId="17" applyBorder="1" applyAlignment="1">
      <alignment horizontal="left"/>
    </xf>
    <xf numFmtId="0" fontId="4" fillId="4" borderId="6" xfId="8" applyBorder="1"/>
    <xf numFmtId="0" fontId="4" fillId="4" borderId="2" xfId="14"/>
    <xf numFmtId="0" fontId="30" fillId="5" borderId="7" xfId="13" applyFont="1" applyBorder="1"/>
    <xf numFmtId="0" fontId="30" fillId="4" borderId="6" xfId="12" applyFont="1" applyBorder="1"/>
    <xf numFmtId="0" fontId="30" fillId="4" borderId="8" xfId="12" applyFont="1" applyBorder="1"/>
    <xf numFmtId="0" fontId="4" fillId="5" borderId="10" xfId="13" applyBorder="1"/>
    <xf numFmtId="0" fontId="6" fillId="5" borderId="7" xfId="9" applyFont="1" applyBorder="1" applyAlignment="1">
      <alignment horizontal="right"/>
    </xf>
    <xf numFmtId="0" fontId="6" fillId="4" borderId="6" xfId="8" applyFont="1" applyBorder="1"/>
    <xf numFmtId="0" fontId="6" fillId="4" borderId="6" xfId="8" applyFont="1" applyBorder="1" applyAlignment="1">
      <alignment horizontal="right"/>
    </xf>
    <xf numFmtId="0" fontId="6" fillId="4" borderId="6" xfId="8" applyFont="1" applyBorder="1" applyAlignment="1">
      <alignment horizontal="left"/>
    </xf>
    <xf numFmtId="0" fontId="4" fillId="4" borderId="11" xfId="10" applyBorder="1"/>
    <xf numFmtId="0" fontId="4" fillId="5" borderId="10" xfId="9" applyBorder="1"/>
    <xf numFmtId="0" fontId="5" fillId="4" borderId="6" xfId="8" applyFont="1" applyBorder="1"/>
    <xf numFmtId="0" fontId="4" fillId="4" borderId="1" xfId="8" applyBorder="1"/>
    <xf numFmtId="0" fontId="12" fillId="0" borderId="9" xfId="11" applyFont="1" applyBorder="1" applyAlignment="1">
      <alignment horizontal="left"/>
    </xf>
    <xf numFmtId="0" fontId="30" fillId="5" borderId="1" xfId="13" applyFont="1"/>
    <xf numFmtId="0" fontId="10" fillId="0" borderId="0" xfId="11" applyFont="1" applyAlignment="1">
      <alignment horizontal="left" wrapText="1"/>
    </xf>
    <xf numFmtId="0" fontId="10" fillId="0" borderId="0" xfId="0" applyFont="1"/>
    <xf numFmtId="166" fontId="6" fillId="5" borderId="10" xfId="9" applyNumberFormat="1" applyFont="1" applyBorder="1" applyAlignment="1">
      <alignment horizontal="right"/>
    </xf>
    <xf numFmtId="166" fontId="4" fillId="4" borderId="11" xfId="10" applyNumberFormat="1" applyBorder="1"/>
    <xf numFmtId="166" fontId="4" fillId="4" borderId="6" xfId="8" applyNumberFormat="1" applyBorder="1"/>
    <xf numFmtId="167" fontId="4" fillId="5" borderId="10" xfId="9" applyNumberFormat="1" applyBorder="1"/>
    <xf numFmtId="167" fontId="4" fillId="4" borderId="6" xfId="8" applyNumberFormat="1" applyBorder="1"/>
    <xf numFmtId="167" fontId="6" fillId="5" borderId="10" xfId="9" applyNumberFormat="1" applyFont="1" applyBorder="1" applyAlignment="1">
      <alignment horizontal="right"/>
    </xf>
    <xf numFmtId="8" fontId="0" fillId="6" borderId="4" xfId="0" applyNumberFormat="1" applyFill="1" applyBorder="1" applyAlignment="1">
      <alignment vertical="center"/>
    </xf>
    <xf numFmtId="8" fontId="0" fillId="0" borderId="3" xfId="0" applyNumberFormat="1" applyBorder="1" applyAlignment="1">
      <alignment vertical="center"/>
    </xf>
    <xf numFmtId="8" fontId="0" fillId="0" borderId="0" xfId="0" applyNumberFormat="1" applyAlignment="1">
      <alignment vertical="center"/>
    </xf>
    <xf numFmtId="8" fontId="4" fillId="5" borderId="1" xfId="9" applyNumberFormat="1" applyAlignment="1">
      <alignment vertical="center"/>
    </xf>
    <xf numFmtId="0" fontId="49" fillId="0" borderId="0" xfId="67"/>
    <xf numFmtId="0" fontId="49" fillId="0" borderId="22" xfId="67" applyBorder="1" applyAlignment="1">
      <alignment vertical="top" wrapText="1"/>
    </xf>
    <xf numFmtId="0" fontId="49" fillId="0" borderId="22" xfId="67" quotePrefix="1" applyBorder="1" applyAlignment="1">
      <alignment vertical="top"/>
    </xf>
    <xf numFmtId="0" fontId="49" fillId="0" borderId="22" xfId="67" applyBorder="1"/>
    <xf numFmtId="0" fontId="49" fillId="0" borderId="22" xfId="67" applyBorder="1" applyAlignment="1">
      <alignment vertical="top"/>
    </xf>
    <xf numFmtId="168" fontId="6" fillId="5" borderId="10" xfId="9" applyNumberFormat="1" applyFont="1" applyBorder="1" applyAlignment="1">
      <alignment horizontal="right"/>
    </xf>
    <xf numFmtId="166" fontId="4" fillId="5" borderId="1" xfId="9" applyNumberFormat="1"/>
    <xf numFmtId="166" fontId="3" fillId="5" borderId="10" xfId="9" quotePrefix="1" applyNumberFormat="1" applyFont="1" applyBorder="1" applyAlignment="1">
      <alignment horizontal="right"/>
    </xf>
    <xf numFmtId="0" fontId="4" fillId="4" borderId="0" xfId="8"/>
    <xf numFmtId="0" fontId="0" fillId="0" borderId="0" xfId="0" applyAlignment="1">
      <alignment horizontal="right"/>
    </xf>
    <xf numFmtId="0" fontId="18" fillId="0" borderId="0" xfId="0" quotePrefix="1" applyFont="1"/>
    <xf numFmtId="0" fontId="2" fillId="0" borderId="0" xfId="11" applyFont="1" applyAlignment="1">
      <alignment horizontal="left"/>
    </xf>
    <xf numFmtId="14" fontId="4" fillId="0" borderId="0" xfId="2" applyNumberFormat="1"/>
    <xf numFmtId="14" fontId="52" fillId="0" borderId="0" xfId="2" applyNumberFormat="1" applyFont="1"/>
    <xf numFmtId="0" fontId="20" fillId="3" borderId="0" xfId="7" applyFont="1" applyAlignment="1">
      <alignment horizontal="center"/>
    </xf>
    <xf numFmtId="0" fontId="20" fillId="3" borderId="12" xfId="7" applyFont="1" applyBorder="1" applyAlignment="1">
      <alignment horizontal="center"/>
    </xf>
    <xf numFmtId="0" fontId="20" fillId="3" borderId="13" xfId="7" applyFont="1" applyBorder="1" applyAlignment="1">
      <alignment horizontal="center"/>
    </xf>
    <xf numFmtId="0" fontId="20" fillId="3" borderId="13" xfId="7" applyFont="1" applyBorder="1" applyAlignment="1">
      <alignment horizontal="center" vertical="center"/>
    </xf>
    <xf numFmtId="0" fontId="50" fillId="0" borderId="22" xfId="67" applyFont="1" applyBorder="1" applyAlignment="1">
      <alignment vertical="top"/>
    </xf>
    <xf numFmtId="0" fontId="51" fillId="2" borderId="0" xfId="67" applyFont="1" applyFill="1" applyAlignment="1">
      <alignment horizontal="center"/>
    </xf>
    <xf numFmtId="0" fontId="53" fillId="0" borderId="0" xfId="68" applyFont="1" applyAlignment="1">
      <alignment horizontal="center"/>
    </xf>
    <xf numFmtId="0" fontId="54" fillId="0" borderId="0" xfId="68" applyFont="1" applyAlignment="1">
      <alignment horizontal="left" vertical="center" indent="1"/>
    </xf>
    <xf numFmtId="0" fontId="53" fillId="0" borderId="0" xfId="68" applyFont="1" applyAlignment="1">
      <alignment horizontal="left" vertical="center" indent="1"/>
    </xf>
    <xf numFmtId="0" fontId="56" fillId="0" borderId="0" xfId="68" applyFont="1" applyAlignment="1">
      <alignment horizontal="center"/>
    </xf>
    <xf numFmtId="0" fontId="56" fillId="0" borderId="0" xfId="68" applyFont="1"/>
    <xf numFmtId="0" fontId="53" fillId="0" borderId="0" xfId="68" applyFont="1"/>
    <xf numFmtId="0" fontId="60" fillId="0" borderId="0" xfId="68" applyFont="1" applyAlignment="1">
      <alignment horizontal="center"/>
    </xf>
    <xf numFmtId="0" fontId="60" fillId="0" borderId="0" xfId="68" applyFont="1"/>
    <xf numFmtId="0" fontId="63" fillId="0" borderId="0" xfId="68" applyFont="1" applyAlignment="1">
      <alignment horizontal="center"/>
    </xf>
    <xf numFmtId="0" fontId="63" fillId="0" borderId="0" xfId="68" applyFont="1"/>
    <xf numFmtId="0" fontId="66" fillId="0" borderId="0" xfId="68" applyFont="1" applyAlignment="1">
      <alignment vertical="center"/>
    </xf>
    <xf numFmtId="0" fontId="53" fillId="0" borderId="0" xfId="68" applyFont="1" applyAlignment="1">
      <alignment horizontal="left"/>
    </xf>
    <xf numFmtId="0" fontId="53" fillId="0" borderId="0" xfId="68" applyFont="1" applyAlignment="1">
      <alignment vertical="center"/>
    </xf>
    <xf numFmtId="0" fontId="53" fillId="0" borderId="0" xfId="68" applyFont="1" applyAlignment="1">
      <alignment horizontal="center" vertical="center"/>
    </xf>
    <xf numFmtId="0" fontId="53" fillId="0" borderId="0" xfId="68" quotePrefix="1" applyFont="1" applyAlignment="1">
      <alignment vertical="center"/>
    </xf>
    <xf numFmtId="0" fontId="53" fillId="0" borderId="0" xfId="68" applyFont="1" applyAlignment="1">
      <alignment horizontal="left" vertical="center"/>
    </xf>
    <xf numFmtId="0" fontId="67" fillId="0" borderId="0" xfId="68" applyFont="1" applyAlignment="1">
      <alignment horizontal="center" vertical="center"/>
    </xf>
    <xf numFmtId="0" fontId="68" fillId="0" borderId="0" xfId="68" applyFont="1" applyAlignment="1">
      <alignment horizontal="center"/>
    </xf>
    <xf numFmtId="0" fontId="68" fillId="0" borderId="0" xfId="68" applyFont="1"/>
    <xf numFmtId="0" fontId="69" fillId="0" borderId="0" xfId="68" applyFont="1" applyAlignment="1">
      <alignment horizontal="center" vertical="center"/>
    </xf>
    <xf numFmtId="0" fontId="55" fillId="0" borderId="0" xfId="68" applyFont="1"/>
    <xf numFmtId="0" fontId="55" fillId="0" borderId="0" xfId="68" applyFont="1" applyAlignment="1">
      <alignment vertical="center"/>
    </xf>
    <xf numFmtId="0" fontId="53" fillId="0" borderId="0" xfId="68" applyFont="1" applyAlignment="1">
      <alignment horizontal="center"/>
    </xf>
    <xf numFmtId="0" fontId="53" fillId="0" borderId="0" xfId="68" quotePrefix="1" applyFont="1" applyAlignment="1">
      <alignment horizontal="center"/>
    </xf>
  </cellXfs>
  <cellStyles count="69">
    <cellStyle name="20% - Cor1" xfId="44" builtinId="30" customBuiltin="1"/>
    <cellStyle name="20% - Cor2" xfId="48" builtinId="34" customBuiltin="1"/>
    <cellStyle name="20% - Cor3" xfId="52" builtinId="38" customBuiltin="1"/>
    <cellStyle name="20% - Cor4" xfId="56" builtinId="42" customBuiltin="1"/>
    <cellStyle name="20% - Cor5" xfId="60" builtinId="46" customBuiltin="1"/>
    <cellStyle name="20% - Cor6" xfId="64" builtinId="50" customBuiltin="1"/>
    <cellStyle name="40% - Cor1" xfId="45" builtinId="31" customBuiltin="1"/>
    <cellStyle name="40% - Cor2" xfId="49" builtinId="35" customBuiltin="1"/>
    <cellStyle name="40% - Cor3" xfId="53" builtinId="39" customBuiltin="1"/>
    <cellStyle name="40% - Cor4" xfId="57" builtinId="43" customBuiltin="1"/>
    <cellStyle name="40% - Cor5" xfId="61" builtinId="47" customBuiltin="1"/>
    <cellStyle name="40% - Cor6" xfId="65" builtinId="51" customBuiltin="1"/>
    <cellStyle name="60% - Cor1" xfId="46" builtinId="32" customBuiltin="1"/>
    <cellStyle name="60% - Cor2" xfId="50" builtinId="36" customBuiltin="1"/>
    <cellStyle name="60% - Cor3" xfId="54" builtinId="40" customBuiltin="1"/>
    <cellStyle name="60% - Cor4" xfId="58" builtinId="44" customBuiltin="1"/>
    <cellStyle name="60% - Cor5" xfId="62" builtinId="48" customBuiltin="1"/>
    <cellStyle name="60% - Cor6" xfId="66" builtinId="52" customBuiltin="1"/>
    <cellStyle name="Cabeçalho 1" xfId="27" builtinId="16" customBuiltin="1"/>
    <cellStyle name="Cabeçalho 1 2" xfId="4" xr:uid="{00000000-0005-0000-0000-000003000000}"/>
    <cellStyle name="Cabeçalho 2" xfId="28" builtinId="17" customBuiltin="1"/>
    <cellStyle name="Cabeçalho 2 2" xfId="5" xr:uid="{00000000-0005-0000-0000-000004000000}"/>
    <cellStyle name="Cabeçalho 3" xfId="29" builtinId="18" customBuiltin="1"/>
    <cellStyle name="Cabeçalho 3 2" xfId="7" xr:uid="{00000000-0005-0000-0000-000005000000}"/>
    <cellStyle name="Cabeçalho 4" xfId="30" builtinId="19" customBuiltin="1"/>
    <cellStyle name="Cálculo" xfId="36" builtinId="22" customBuiltin="1"/>
    <cellStyle name="Célula Ligada" xfId="37" builtinId="24" customBuiltin="1"/>
    <cellStyle name="CélulaAmarela" xfId="9" xr:uid="{00000000-0005-0000-0000-000010000000}"/>
    <cellStyle name="CélulaAmarela 2" xfId="13" xr:uid="{00000000-0005-0000-0000-000011000000}"/>
    <cellStyle name="CélulaAmarela 2 2" xfId="18" xr:uid="{00000000-0005-0000-0000-000012000000}"/>
    <cellStyle name="CélulaCinzenta" xfId="8" xr:uid="{00000000-0005-0000-0000-000000000000}"/>
    <cellStyle name="CélulaCinzenta 2" xfId="12" xr:uid="{00000000-0005-0000-0000-000001000000}"/>
    <cellStyle name="CélulaCinzenta 2 2" xfId="17" xr:uid="{00000000-0005-0000-0000-000002000000}"/>
    <cellStyle name="Cor1" xfId="43" builtinId="29" customBuiltin="1"/>
    <cellStyle name="Cor2" xfId="47" builtinId="33" customBuiltin="1"/>
    <cellStyle name="Cor3" xfId="51" builtinId="37" customBuiltin="1"/>
    <cellStyle name="Cor4" xfId="55" builtinId="41" customBuiltin="1"/>
    <cellStyle name="Cor5" xfId="59" builtinId="45" customBuiltin="1"/>
    <cellStyle name="Cor6" xfId="63" builtinId="49" customBuiltin="1"/>
    <cellStyle name="Correto" xfId="31" builtinId="26" customBuiltin="1"/>
    <cellStyle name="Entrada" xfId="34" builtinId="20" customBuiltin="1"/>
    <cellStyle name="Hiperligação" xfId="16" builtinId="8" customBuiltin="1"/>
    <cellStyle name="Hiperligação Visitada" xfId="20" builtinId="9" customBuiltin="1"/>
    <cellStyle name="Incorreto" xfId="32" builtinId="27" customBuiltin="1"/>
    <cellStyle name="LimiteLaranja" xfId="10" xr:uid="{00000000-0005-0000-0000-00000B000000}"/>
    <cellStyle name="LimiteLaranja 2" xfId="14" xr:uid="{00000000-0005-0000-0000-00000C000000}"/>
    <cellStyle name="LimiteLaranja 3" xfId="19" xr:uid="{00000000-0005-0000-0000-00000D000000}"/>
    <cellStyle name="Moeda" xfId="23" builtinId="4" customBuiltin="1"/>
    <cellStyle name="Moeda [0]" xfId="24" builtinId="7" customBuiltin="1"/>
    <cellStyle name="Neutro" xfId="33" builtinId="28" customBuiltin="1"/>
    <cellStyle name="Normal" xfId="0" builtinId="0" customBuiltin="1"/>
    <cellStyle name="Normal 2" xfId="2" xr:uid="{00000000-0005-0000-0000-000008000000}"/>
    <cellStyle name="Normal 2 2" xfId="15" xr:uid="{00000000-0005-0000-0000-000009000000}"/>
    <cellStyle name="Normal 3" xfId="11" xr:uid="{00000000-0005-0000-0000-00000A000000}"/>
    <cellStyle name="Normal 4" xfId="67" xr:uid="{7ED073ED-916B-4A81-A069-36C19F029177}"/>
    <cellStyle name="Normal 5" xfId="68" xr:uid="{7E0ED461-863A-43C1-AE9F-26BF6DD76DFF}"/>
    <cellStyle name="Nota" xfId="40" builtinId="10" customBuiltin="1"/>
    <cellStyle name="Percentagem" xfId="25" builtinId="5" customBuiltin="1"/>
    <cellStyle name="Saída" xfId="35" builtinId="21" customBuiltin="1"/>
    <cellStyle name="Separador de milhares [0]" xfId="22" builtinId="6" customBuiltin="1"/>
    <cellStyle name="Texto da Coluna de Z a A" xfId="6" xr:uid="{00000000-0005-0000-0000-000013000000}"/>
    <cellStyle name="Texto de Aviso" xfId="39" builtinId="11" customBuiltin="1"/>
    <cellStyle name="Texto de Início" xfId="1" xr:uid="{00000000-0005-0000-0000-00000E000000}"/>
    <cellStyle name="Texto Explicativo" xfId="41" builtinId="53" customBuiltin="1"/>
    <cellStyle name="Título" xfId="26" builtinId="15" customBuiltin="1"/>
    <cellStyle name="Título 2" xfId="3" xr:uid="{00000000-0005-0000-0000-00000F000000}"/>
    <cellStyle name="Total" xfId="42" builtinId="25" customBuiltin="1"/>
    <cellStyle name="Verificar Célula" xfId="38" builtinId="23" customBuiltin="1"/>
    <cellStyle name="Vírgula" xfId="21" builtinId="3" customBuiltin="1"/>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IU do Excel"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217346"/>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hyperlink" Target="#'No&#231;&#245;es B&#225;sicas'!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hyperlink" Target="https://aka.ms/AA223qo" TargetMode="External"/><Relationship Id="rId13" Type="http://schemas.openxmlformats.org/officeDocument/2006/relationships/hyperlink" Target="https://support.office.com/pt-PT/article/excel-functions-alphabetical-b3944572-255d-4efb-bb96-c6d90033e188?ui=pt-PT&amp;rs=en-001&amp;ad=us" TargetMode="External"/><Relationship Id="rId18" Type="http://schemas.openxmlformats.org/officeDocument/2006/relationships/image" Target="../media/image11.svg"/><Relationship Id="rId3" Type="http://schemas.openxmlformats.org/officeDocument/2006/relationships/hyperlink" Target="#'No&#231;&#245;es B&#225;sicas'!A60"/><Relationship Id="rId7" Type="http://schemas.openxmlformats.org/officeDocument/2006/relationships/image" Target="../media/image5.svg"/><Relationship Id="rId12" Type="http://schemas.openxmlformats.org/officeDocument/2006/relationships/hyperlink" Target="https://support.office.com/pt-PT/article/excel-functions-by-category-5f91f4e9-7b42-46d2-9bd1-63f26a86c0eb?ui=pt-PT&amp;rs=en-001&amp;ad=us" TargetMode="External"/><Relationship Id="rId17" Type="http://schemas.openxmlformats.org/officeDocument/2006/relationships/image" Target="../media/image10.png"/><Relationship Id="rId2" Type="http://schemas.openxmlformats.org/officeDocument/2006/relationships/image" Target="../media/image3.png"/><Relationship Id="rId16" Type="http://schemas.openxmlformats.org/officeDocument/2006/relationships/image" Target="../media/image9.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hyperlink" Target="https://support.office.com/pt-PT/article/overview-of-formulas-in-excel-ecfdc708-9162-49e8-b993-c311f47ca173?ui=pt-PT&amp;rs=en-001&amp;ad=us" TargetMode="External"/><Relationship Id="rId5" Type="http://schemas.openxmlformats.org/officeDocument/2006/relationships/hyperlink" Target="#'In&#237;cio'!A1"/><Relationship Id="rId15" Type="http://schemas.openxmlformats.org/officeDocument/2006/relationships/image" Target="../media/image8.png"/><Relationship Id="rId10" Type="http://schemas.openxmlformats.org/officeDocument/2006/relationships/image" Target="../media/image7.svg"/><Relationship Id="rId19" Type="http://schemas.openxmlformats.org/officeDocument/2006/relationships/image" Target="../media/image12.png"/><Relationship Id="rId4" Type="http://schemas.openxmlformats.org/officeDocument/2006/relationships/hyperlink" Target="#'Introdu&#231;&#227;o &#224;s Fun&#231;&#245;es'!A1"/><Relationship Id="rId9" Type="http://schemas.openxmlformats.org/officeDocument/2006/relationships/image" Target="../media/image6.png"/><Relationship Id="rId14" Type="http://schemas.openxmlformats.org/officeDocument/2006/relationships/hyperlink" Target="https://support.office.com/pt-PT/article/excel-for-windows-training-9bc05390-e94c-46af-a5b3-d7c22f6990bb?ui=pt-PT&amp;rs=en-001&amp;ad=us" TargetMode="External"/></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pt-PT/article/excel-for-windows-training-9bc05390-e94c-46af-a5b3-d7c22f6990bb?ui=pt-PT&amp;rs=en-001&amp;ad=us" TargetMode="External"/><Relationship Id="rId13" Type="http://schemas.openxmlformats.org/officeDocument/2006/relationships/image" Target="../media/image9.svg"/><Relationship Id="rId3" Type="http://schemas.openxmlformats.org/officeDocument/2006/relationships/hyperlink" Target="https://support.office.com/pt-PT/article/sum-function-043e1c7d-7726-4e80-8f32-07b23e057f89?ui=pt-PT&amp;rs=en-001&amp;ad=us" TargetMode="External"/><Relationship Id="rId7" Type="http://schemas.openxmlformats.org/officeDocument/2006/relationships/hyperlink" Target="https://support.office.com/pt-PT/article/count-function-a59cd7fc-b623-4d93-87a4-d23bf411294c?ui=pt-PT&amp;rs=en-001&amp;ad=us" TargetMode="External"/><Relationship Id="rId12" Type="http://schemas.openxmlformats.org/officeDocument/2006/relationships/image" Target="../media/image8.png"/><Relationship Id="rId17" Type="http://schemas.openxmlformats.org/officeDocument/2006/relationships/hyperlink" Target="#'Introdu&#231;&#227;o &#224;s Fun&#231;&#245;es'!A63"/><Relationship Id="rId2" Type="http://schemas.openxmlformats.org/officeDocument/2006/relationships/hyperlink" Target="#M&#201;DIA!A1"/><Relationship Id="rId16" Type="http://schemas.openxmlformats.org/officeDocument/2006/relationships/image" Target="../media/image16.png"/><Relationship Id="rId1" Type="http://schemas.openxmlformats.org/officeDocument/2006/relationships/hyperlink" Target="#'Introdu&#231;&#227;o &#224;s Fun&#231;&#245;es'!A1"/><Relationship Id="rId6" Type="http://schemas.openxmlformats.org/officeDocument/2006/relationships/hyperlink" Target="https://support.office.com/pt-PT/article/use-autosum-to-sum-numbers-543941e7-e783-44ef-8317-7d1bb85fe706?ui=pt-PT&amp;rs=en-001&amp;ad=us" TargetMode="External"/><Relationship Id="rId11" Type="http://schemas.openxmlformats.org/officeDocument/2006/relationships/image" Target="../media/image15.png"/><Relationship Id="rId5" Type="http://schemas.openxmlformats.org/officeDocument/2006/relationships/image" Target="../media/image7.svg"/><Relationship Id="rId15" Type="http://schemas.openxmlformats.org/officeDocument/2006/relationships/image" Target="../media/image5.svg"/><Relationship Id="rId10" Type="http://schemas.openxmlformats.org/officeDocument/2006/relationships/image" Target="../media/image14.svg"/><Relationship Id="rId4" Type="http://schemas.openxmlformats.org/officeDocument/2006/relationships/image" Target="../media/image6.png"/><Relationship Id="rId9" Type="http://schemas.openxmlformats.org/officeDocument/2006/relationships/image" Target="../media/image13.png"/><Relationship Id="rId14" Type="http://schemas.openxmlformats.org/officeDocument/2006/relationships/image" Target="../media/image4.png"/></Relationships>
</file>

<file path=xl/drawings/_rels/drawing5.xml.rels><?xml version="1.0" encoding="UTF-8" standalone="yes"?>
<Relationships xmlns="http://schemas.openxmlformats.org/package/2006/relationships"><Relationship Id="rId8" Type="http://schemas.openxmlformats.org/officeDocument/2006/relationships/hyperlink" Target="https://support.office.com/pt-PT/article/median-function-d0916313-4753-414c-8537-ce85bdd967d2?ui=pt-PT&amp;rs=en-001&amp;ad=us" TargetMode="External"/><Relationship Id="rId3" Type="http://schemas.openxmlformats.org/officeDocument/2006/relationships/hyperlink" Target="#'Introdu&#231;&#227;o &#224;s Fun&#231;&#245;es'!A1"/><Relationship Id="rId7" Type="http://schemas.openxmlformats.org/officeDocument/2006/relationships/image" Target="../media/image7.svg"/><Relationship Id="rId12" Type="http://schemas.openxmlformats.org/officeDocument/2006/relationships/image" Target="../media/image9.sv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hyperlink" Target="https://support.office.com/pt-PT/article/average-function-047bac88-d466-426c-a32b-8f33eb960cf6?ui=pt-PT&amp;rs=en-001&amp;ad=us" TargetMode="External"/><Relationship Id="rId10" Type="http://schemas.openxmlformats.org/officeDocument/2006/relationships/hyperlink" Target="https://support.office.com/pt-PT/article/excel-for-windows-training-9bc05390-e94c-46af-a5b3-d7c22f6990bb?ui=pt-PT&amp;rs=en-001&amp;ad=us" TargetMode="External"/><Relationship Id="rId4" Type="http://schemas.openxmlformats.org/officeDocument/2006/relationships/hyperlink" Target="#'M&#205;NIMO E M&#193;XIMO'!A1"/><Relationship Id="rId9" Type="http://schemas.openxmlformats.org/officeDocument/2006/relationships/hyperlink" Target="https://support.office.com/pt-PT/article/mode-function-e45192ce-9122-4980-82ed-4bdc34973120?ocmsassetid=e45192ce-9122-4980-82ed-4bdc34973120&amp;ui=pt-PT&amp;rs=en-001&amp;ad=us" TargetMode="External"/></Relationships>
</file>

<file path=xl/drawings/_rels/drawing6.xml.rels><?xml version="1.0" encoding="UTF-8" standalone="yes"?>
<Relationships xmlns="http://schemas.openxmlformats.org/package/2006/relationships"><Relationship Id="rId8" Type="http://schemas.openxmlformats.org/officeDocument/2006/relationships/hyperlink" Target="#M&#201;DIA!A1"/><Relationship Id="rId3" Type="http://schemas.openxmlformats.org/officeDocument/2006/relationships/image" Target="../media/image7.svg"/><Relationship Id="rId7" Type="http://schemas.openxmlformats.org/officeDocument/2006/relationships/image" Target="../media/image11.svg"/><Relationship Id="rId2" Type="http://schemas.openxmlformats.org/officeDocument/2006/relationships/image" Target="../media/image6.png"/><Relationship Id="rId1" Type="http://schemas.openxmlformats.org/officeDocument/2006/relationships/hyperlink" Target="https://support.office.com/pt-PT/article/min-function-61635d12-920f-4ce2-a70f-96f202dcc152?ui=pt-PT&amp;rs=en-001&amp;ad=us" TargetMode="External"/><Relationship Id="rId6" Type="http://schemas.openxmlformats.org/officeDocument/2006/relationships/image" Target="../media/image10.png"/><Relationship Id="rId5" Type="http://schemas.openxmlformats.org/officeDocument/2006/relationships/hyperlink" Target="https://support.office.com/pt-PT/article/excel-for-windows-training-9bc05390-e94c-46af-a5b3-d7c22f6990bb?ui=pt-PT&amp;rs=en-001&amp;ad=us" TargetMode="External"/><Relationship Id="rId4" Type="http://schemas.openxmlformats.org/officeDocument/2006/relationships/hyperlink" Target="https://support.office.com/pt-PT/article/max-function-e0012414-9ac8-4b34-9a47-73e662c08098?ui=pt-PT&amp;rs=en-001&amp;ad=us" TargetMode="External"/><Relationship Id="rId9" Type="http://schemas.openxmlformats.org/officeDocument/2006/relationships/hyperlink" Target="#'Data e Hora'!A1"/></Relationships>
</file>

<file path=xl/drawings/_rels/drawing7.xml.rels><?xml version="1.0" encoding="UTF-8" standalone="yes"?>
<Relationships xmlns="http://schemas.openxmlformats.org/package/2006/relationships"><Relationship Id="rId8" Type="http://schemas.openxmlformats.org/officeDocument/2006/relationships/hyperlink" Target="https://support.office.com/pt-PT/article/now-function-3337fd29-145a-4347-b2e6-20c904739c46?ui=pt-PT&amp;rs=en-001&amp;ad=us" TargetMode="External"/><Relationship Id="rId3" Type="http://schemas.openxmlformats.org/officeDocument/2006/relationships/hyperlink" Target="#'M&#205;NIMO E M&#193;XIMO'!A1"/><Relationship Id="rId7" Type="http://schemas.openxmlformats.org/officeDocument/2006/relationships/image" Target="../media/image7.svg"/><Relationship Id="rId12" Type="http://schemas.openxmlformats.org/officeDocument/2006/relationships/image" Target="../media/image14.svg"/><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image" Target="../media/image6.png"/><Relationship Id="rId11" Type="http://schemas.openxmlformats.org/officeDocument/2006/relationships/image" Target="../media/image13.png"/><Relationship Id="rId5" Type="http://schemas.openxmlformats.org/officeDocument/2006/relationships/hyperlink" Target="https://support.office.com/pt-PT/article/today-function-5eb3078d-a82c-4736-8930-2f51a028fdd9?ui=pt-PT&amp;rs=en-001&amp;ad=us" TargetMode="External"/><Relationship Id="rId10" Type="http://schemas.openxmlformats.org/officeDocument/2006/relationships/hyperlink" Target="https://support.office.com/pt-PT/article/date-function-e36c0c8c-4104-49da-ab83-82328b832349?ui=pt-PT&amp;rs=en-001&amp;ad=us" TargetMode="External"/><Relationship Id="rId4" Type="http://schemas.openxmlformats.org/officeDocument/2006/relationships/hyperlink" Target="#'Unir texto e n&#250;meros'!A1"/><Relationship Id="rId9" Type="http://schemas.openxmlformats.org/officeDocument/2006/relationships/hyperlink" Target="https://support.office.com/pt-PT/article/excel-for-windows-training-9bc05390-e94c-46af-a5b3-d7c22f6990bb?ui=pt-PT&amp;rs=en-001&amp;ad=us" TargetMode="External"/></Relationships>
</file>

<file path=xl/drawings/_rels/drawing8.xml.rels><?xml version="1.0" encoding="UTF-8" standalone="yes"?>
<Relationships xmlns="http://schemas.openxmlformats.org/package/2006/relationships"><Relationship Id="rId8" Type="http://schemas.openxmlformats.org/officeDocument/2006/relationships/hyperlink" Target="https://support.office.com/pt-PT/article/combine-text-and-numbers-a32c8e0e-90a2-435b-8635-5dd2209044ad?ui=pt-PT&amp;rs=en-001&amp;ad=us" TargetMode="External"/><Relationship Id="rId3" Type="http://schemas.openxmlformats.org/officeDocument/2006/relationships/image" Target="../media/image17.png"/><Relationship Id="rId7" Type="http://schemas.openxmlformats.org/officeDocument/2006/relationships/image" Target="../media/image7.svg"/><Relationship Id="rId12" Type="http://schemas.openxmlformats.org/officeDocument/2006/relationships/image" Target="../media/image9.svg"/><Relationship Id="rId2" Type="http://schemas.openxmlformats.org/officeDocument/2006/relationships/hyperlink" Target="#'Instru&#231;&#245;es SE'!A1"/><Relationship Id="rId1" Type="http://schemas.openxmlformats.org/officeDocument/2006/relationships/hyperlink" Target="#'Data e Hora'!A1"/><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hyperlink" Target="https://support.office.com/pt-PT/article/text-function-20d5ac4d-7b94-49fd-bb38-93d29371225c?ui=pt-PT&amp;rs=en-001&amp;ad=us" TargetMode="External"/><Relationship Id="rId10" Type="http://schemas.openxmlformats.org/officeDocument/2006/relationships/hyperlink" Target="#'Unir texto e n&#250;meros'!A60"/><Relationship Id="rId4" Type="http://schemas.openxmlformats.org/officeDocument/2006/relationships/image" Target="../media/image18.svg"/><Relationship Id="rId9" Type="http://schemas.openxmlformats.org/officeDocument/2006/relationships/hyperlink" Target="https://support.office.com/pt-PT/article/excel-for-windows-training-9bc05390-e94c-46af-a5b3-d7c22f6990bb?ui=pt-PT&amp;rs=en-001&amp;ad=us" TargetMode="External"/></Relationships>
</file>

<file path=xl/drawings/_rels/drawing9.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image" Target="../media/image7.svg"/><Relationship Id="rId3" Type="http://schemas.openxmlformats.org/officeDocument/2006/relationships/image" Target="../media/image14.svg"/><Relationship Id="rId7" Type="http://schemas.openxmlformats.org/officeDocument/2006/relationships/image" Target="../media/image10.png"/><Relationship Id="rId12" Type="http://schemas.openxmlformats.org/officeDocument/2006/relationships/image" Target="../media/image6.png"/><Relationship Id="rId17" Type="http://schemas.openxmlformats.org/officeDocument/2006/relationships/image" Target="../media/image21.png"/><Relationship Id="rId2" Type="http://schemas.openxmlformats.org/officeDocument/2006/relationships/image" Target="../media/image13.png"/><Relationship Id="rId16" Type="http://schemas.openxmlformats.org/officeDocument/2006/relationships/hyperlink" Target="https://support.office.com/pt-PT/article/if-function-&#8211;-nested-formulas-and-avoiding-pitfalls-0b22ff44-f149-44ba-aeb5-4ef99da241c8?ui=pt-PT&amp;rs=en-001&amp;ad=us" TargetMode="External"/><Relationship Id="rId1" Type="http://schemas.openxmlformats.org/officeDocument/2006/relationships/hyperlink" Target="#PROCV!A1"/><Relationship Id="rId6" Type="http://schemas.openxmlformats.org/officeDocument/2006/relationships/hyperlink" Target="https://support.office.com/pt-pt/article/definir-e-utilizar-nomes-em-f%c3%b3rmulas-4d0f13ac-53b7-422e-afd2-abd7ff379c64?omkt=pt-PT&amp;ui=pt-PT&amp;rs=pt-PT&amp;ad=PT" TargetMode="External"/><Relationship Id="rId11" Type="http://schemas.openxmlformats.org/officeDocument/2006/relationships/hyperlink" Target="https://support.office.com/pt-PT/article/if-function-69aed7c9-4e8a-4755-a9bc-aa8bbff73be2?ui=pt-PT&amp;rs=en-001&amp;ad=us" TargetMode="External"/><Relationship Id="rId5" Type="http://schemas.openxmlformats.org/officeDocument/2006/relationships/image" Target="../media/image20.svg"/><Relationship Id="rId15" Type="http://schemas.openxmlformats.org/officeDocument/2006/relationships/hyperlink" Target="https://support.office.com/pt-PT/article/excel-for-windows-training-9bc05390-e94c-46af-a5b3-d7c22f6990bb?ui=pt-PT&amp;rs=en-001&amp;ad=us" TargetMode="External"/><Relationship Id="rId10" Type="http://schemas.openxmlformats.org/officeDocument/2006/relationships/hyperlink" Target="#'Unir texto e n&#250;meros'!A1"/><Relationship Id="rId4" Type="http://schemas.openxmlformats.org/officeDocument/2006/relationships/image" Target="../media/image19.png"/><Relationship Id="rId9" Type="http://schemas.openxmlformats.org/officeDocument/2006/relationships/hyperlink" Target="#'Instru&#231;&#245;es SE'!A60"/><Relationship Id="rId14" Type="http://schemas.openxmlformats.org/officeDocument/2006/relationships/hyperlink" Target="https://support.office.com/pt-PT/article/ifs-function-36329a26-37b2-467c-972b-4a39bd951d45?ui=pt-PT&amp;rs=en-001&amp;ad=us" TargetMode="External"/></Relationships>
</file>

<file path=xl/drawings/_rels/drawing10.xml.rels><?xml version="1.0" encoding="UTF-8" standalone="yes"?>
<Relationships xmlns="http://schemas.openxmlformats.org/package/2006/relationships"><Relationship Id="rId8" Type="http://schemas.openxmlformats.org/officeDocument/2006/relationships/hyperlink" Target="https://support.office.com/pt-PT/article/create-a-pivottable-to-analyze-worksheet-data-a9a84538-bfe9-40a9-a8e9-f99134456576?ui=pt-PT&amp;rs=en-001&amp;ad=us" TargetMode="External"/><Relationship Id="rId13" Type="http://schemas.openxmlformats.org/officeDocument/2006/relationships/image" Target="../media/image22.png"/><Relationship Id="rId3" Type="http://schemas.openxmlformats.org/officeDocument/2006/relationships/image" Target="../media/image6.png"/><Relationship Id="rId7" Type="http://schemas.openxmlformats.org/officeDocument/2006/relationships/hyperlink" Target="https://support.office.com/pt-PT/article/iferror-function-c526fd07-caeb-47b8-8bb6-63f3e417f611?ui=pt-PT&amp;rs=en-001&amp;ad=us" TargetMode="External"/><Relationship Id="rId12" Type="http://schemas.openxmlformats.org/officeDocument/2006/relationships/image" Target="../media/image14.svg"/><Relationship Id="rId2" Type="http://schemas.openxmlformats.org/officeDocument/2006/relationships/hyperlink" Target="https://support.office.com/pt-PT/article/vlookup-function-0bbc8083-26fe-4963-8ab8-93a18ad188a1" TargetMode="External"/><Relationship Id="rId1" Type="http://schemas.openxmlformats.org/officeDocument/2006/relationships/hyperlink" Target="#'Fun&#231;&#245;es Condicionais'!A1"/><Relationship Id="rId6" Type="http://schemas.openxmlformats.org/officeDocument/2006/relationships/hyperlink" Target="https://support.office.com/pt-PT/article/excel-for-windows-training-9bc05390-e94c-46af-a5b3-d7c22f6990bb?ui=pt-PT&amp;rs=en-001&amp;ad=us" TargetMode="External"/><Relationship Id="rId11" Type="http://schemas.openxmlformats.org/officeDocument/2006/relationships/image" Target="../media/image13.png"/><Relationship Id="rId5" Type="http://schemas.openxmlformats.org/officeDocument/2006/relationships/hyperlink" Target="https://support.office.com/pt-PT/article/match-function-e8dffd45-c762-47d6-bf89-533f4a37673a" TargetMode="External"/><Relationship Id="rId10" Type="http://schemas.openxmlformats.org/officeDocument/2006/relationships/hyperlink" Target="#'Instru&#231;&#245;es SE'!A1"/><Relationship Id="rId4" Type="http://schemas.openxmlformats.org/officeDocument/2006/relationships/image" Target="../media/image7.svg"/><Relationship Id="rId9" Type="http://schemas.openxmlformats.org/officeDocument/2006/relationships/hyperlink" Target="#PROCV!A62"/><Relationship Id="rId14" Type="http://schemas.openxmlformats.org/officeDocument/2006/relationships/image" Target="../media/image23.svg"/></Relationships>
</file>

<file path=xl/drawings/_rels/drawing11.xml.rels><?xml version="1.0" encoding="UTF-8" standalone="yes"?>
<Relationships xmlns="http://schemas.openxmlformats.org/package/2006/relationships"><Relationship Id="rId8" Type="http://schemas.openxmlformats.org/officeDocument/2006/relationships/hyperlink" Target="https://support.office.com/pt-PT/article/maxifs-function-dfd611e6-da2c-488a-919b-9b6376b28883?ui=pt-PT&amp;rs=en-001&amp;ad=us" TargetMode="External"/><Relationship Id="rId13" Type="http://schemas.openxmlformats.org/officeDocument/2006/relationships/hyperlink" Target="https://support.office.com/pt-PT/article/sumifs-function-c9e748f5-7ea7-455d-9406-611cebce642b?ui=pt-PT&amp;rs=en-001&amp;ad=us" TargetMode="External"/><Relationship Id="rId18" Type="http://schemas.openxmlformats.org/officeDocument/2006/relationships/image" Target="../media/image19.png"/><Relationship Id="rId3" Type="http://schemas.openxmlformats.org/officeDocument/2006/relationships/hyperlink" Target="#'Assistente de Fun&#231;&#245;es'!A1"/><Relationship Id="rId21" Type="http://schemas.openxmlformats.org/officeDocument/2006/relationships/hyperlink" Target="#'Fun&#231;&#245;es Condicionais'!A130"/><Relationship Id="rId7" Type="http://schemas.openxmlformats.org/officeDocument/2006/relationships/image" Target="../media/image7.svg"/><Relationship Id="rId12" Type="http://schemas.openxmlformats.org/officeDocument/2006/relationships/hyperlink" Target="https://support.office.com/pt-PT/article/countifs-function-dda3dc6e-f74e-4aee-88bc-aa8c2a866842?ui=pt-PT&amp;rs=en-001&amp;ad=us" TargetMode="External"/><Relationship Id="rId17" Type="http://schemas.openxmlformats.org/officeDocument/2006/relationships/hyperlink" Target="https://support.office.com/pt-pt/article/criar-uma-tabela-din%c3%a2mica-para-analisar-dados-de-uma-folha-de-c%c3%a1lculo-a9a84538-bfe9-40a9-a8e9-f99134456576?omkt=pt-PT&amp;ui=pt-PT&amp;rs=pt-PT&amp;ad=PT" TargetMode="External"/><Relationship Id="rId2" Type="http://schemas.openxmlformats.org/officeDocument/2006/relationships/image" Target="../media/image11.svg"/><Relationship Id="rId16" Type="http://schemas.openxmlformats.org/officeDocument/2006/relationships/hyperlink" Target="https://support.office.com/pt-PT/article/create-a-drop-down-list-7693307a-59ef-400a-b769-c5402dce407b?ui=pt-PT&amp;rs=en-001&amp;ad=us" TargetMode="External"/><Relationship Id="rId20" Type="http://schemas.openxmlformats.org/officeDocument/2006/relationships/hyperlink" Target="#'Fun&#231;&#245;es Condicionais'!A85"/><Relationship Id="rId1" Type="http://schemas.openxmlformats.org/officeDocument/2006/relationships/image" Target="../media/image10.png"/><Relationship Id="rId6" Type="http://schemas.openxmlformats.org/officeDocument/2006/relationships/image" Target="../media/image6.png"/><Relationship Id="rId11" Type="http://schemas.openxmlformats.org/officeDocument/2006/relationships/hyperlink" Target="https://support.office.com/pt-PT/article/minifs-function-6ca1ddaa-079b-4e74-80cc-72eef32e6599?ui=pt-PT&amp;rs=en-001&amp;ad=us" TargetMode="External"/><Relationship Id="rId5" Type="http://schemas.openxmlformats.org/officeDocument/2006/relationships/hyperlink" Target="https://support.office.com/pt-PT/article/excel-for-windows-training-9bc05390-e94c-46af-a5b3-d7c22f6990bb?ui=pt-PT&amp;rs=en-001&amp;ad=us" TargetMode="External"/><Relationship Id="rId15" Type="http://schemas.openxmlformats.org/officeDocument/2006/relationships/hyperlink" Target="https://support.office.com/pt-PT/article/countif-function-e0de10c6-f885-4e71-abb4-1f464816df34?ui=pt-PT&amp;rs=en-001&amp;ad=us" TargetMode="External"/><Relationship Id="rId10" Type="http://schemas.openxmlformats.org/officeDocument/2006/relationships/hyperlink" Target="https://support.office.com/pt-PT/article/averageif-function-faec8e2e-0dec-4308-af69-f5576d8ac642?ui=pt-PT&amp;rs=en-001&amp;ad=us" TargetMode="External"/><Relationship Id="rId19" Type="http://schemas.openxmlformats.org/officeDocument/2006/relationships/image" Target="../media/image20.svg"/><Relationship Id="rId4" Type="http://schemas.openxmlformats.org/officeDocument/2006/relationships/hyperlink" Target="#'Fun&#231;&#245;es Condicionais'!A1"/><Relationship Id="rId9" Type="http://schemas.openxmlformats.org/officeDocument/2006/relationships/hyperlink" Target="https://support.office.com/pt-PT/article/averageifs-function-48910c45-1fc0-4389-a028-f7c5c3001690?ui=pt-PT&amp;rs=en-001&amp;ad=us" TargetMode="External"/><Relationship Id="rId14" Type="http://schemas.openxmlformats.org/officeDocument/2006/relationships/hyperlink" Target="https://support.office.com/pt-PT/article/sumif-function-169b8c99-c05c-4483-a712-1697a653039b?ui=pt-PT&amp;rs=en-001&amp;ad=us" TargetMode="External"/><Relationship Id="rId22" Type="http://schemas.openxmlformats.org/officeDocument/2006/relationships/hyperlink" Target="#'Fun&#231;&#245;es Condicionais'!A138"/></Relationships>
</file>

<file path=xl/drawings/_rels/drawing12.xml.rels><?xml version="1.0" encoding="UTF-8" standalone="yes"?>
<Relationships xmlns="http://schemas.openxmlformats.org/package/2006/relationships"><Relationship Id="rId8" Type="http://schemas.openxmlformats.org/officeDocument/2006/relationships/hyperlink" Target="https://support.office.com/pt-PT/article/excel-functions-alphabetical-b3944572-255d-4efb-bb96-c6d90033e188?ui=pt-PT&amp;rs=en-001&amp;ad=us" TargetMode="External"/><Relationship Id="rId13" Type="http://schemas.openxmlformats.org/officeDocument/2006/relationships/image" Target="../media/image11.svg"/><Relationship Id="rId3" Type="http://schemas.openxmlformats.org/officeDocument/2006/relationships/hyperlink" Target="https://support.office.com/pt-PT/article/overview-of-formulas-in-excel-ecfdc708-9162-49e8-b993-c311f47ca173?ui=pt-PT&amp;rs=en-001&amp;ad=us" TargetMode="External"/><Relationship Id="rId7" Type="http://schemas.openxmlformats.org/officeDocument/2006/relationships/hyperlink" Target="https://support.office.com/pt-PT/article/excel-for-windows-training-9bc05390-e94c-46af-a5b3-d7c22f6990bb?ui=pt-PT&amp;rs=en-001&amp;ad=us" TargetMode="External"/><Relationship Id="rId12" Type="http://schemas.openxmlformats.org/officeDocument/2006/relationships/image" Target="../media/image10.pn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hyperlink" Target="https://support.office.com/pt-PT/article/excel-functions-by-category-5f91f4e9-7b42-46d2-9bd1-63f26a86c0eb?ui=pt-PT&amp;rs=en-001&amp;ad=us" TargetMode="External"/><Relationship Id="rId11" Type="http://schemas.openxmlformats.org/officeDocument/2006/relationships/image" Target="../media/image24.png"/><Relationship Id="rId5" Type="http://schemas.openxmlformats.org/officeDocument/2006/relationships/image" Target="../media/image7.svg"/><Relationship Id="rId10" Type="http://schemas.openxmlformats.org/officeDocument/2006/relationships/hyperlink" Target="#'Erros em F&#243;rmulas'!A1"/><Relationship Id="rId4" Type="http://schemas.openxmlformats.org/officeDocument/2006/relationships/image" Target="../media/image6.png"/><Relationship Id="rId9" Type="http://schemas.openxmlformats.org/officeDocument/2006/relationships/hyperlink" Target="#'Fun&#231;&#245;es Condicionais'!A1"/></Relationships>
</file>

<file path=xl/drawings/_rels/drawing13.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hyperlink" Target="https://support.office.com/pt-PT/article/excel-for-windows-training-9bc05390-e94c-46af-a5b3-d7c22f6990bb?ui=pt-PT&amp;rs=en-001&amp;ad=us" TargetMode="External"/><Relationship Id="rId3" Type="http://schemas.openxmlformats.org/officeDocument/2006/relationships/hyperlink" Target="#'Assistente de Fun&#231;&#245;es'!A1"/><Relationship Id="rId7" Type="http://schemas.openxmlformats.org/officeDocument/2006/relationships/image" Target="../media/image10.png"/><Relationship Id="rId12" Type="http://schemas.openxmlformats.org/officeDocument/2006/relationships/hyperlink" Target="https://support.office.com/pt-PT/article/how-to-avoid-broken-formulas-8309381d-33e8-42f6-b889-84ef6df1d586?ui=pt-PT&amp;rs=en-001&amp;ad=us" TargetMode="External"/><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23.svg"/><Relationship Id="rId11" Type="http://schemas.openxmlformats.org/officeDocument/2006/relationships/image" Target="../media/image7.svg"/><Relationship Id="rId5" Type="http://schemas.openxmlformats.org/officeDocument/2006/relationships/image" Target="../media/image22.png"/><Relationship Id="rId10" Type="http://schemas.openxmlformats.org/officeDocument/2006/relationships/image" Target="../media/image6.png"/><Relationship Id="rId4" Type="http://schemas.openxmlformats.org/officeDocument/2006/relationships/hyperlink" Target="#'Saiba mais'!A1"/><Relationship Id="rId9" Type="http://schemas.openxmlformats.org/officeDocument/2006/relationships/hyperlink" Target="https://support.office.com/pt-PT/article/detect-errors-in-formulas-3a8acca5-1d61-4702-80e0-99a36a2822c1?ui=pt-PT&amp;rs=en-001&amp;ad=us" TargetMode="External"/><Relationship Id="rId14" Type="http://schemas.openxmlformats.org/officeDocument/2006/relationships/hyperlink" Target="https://support.office.com/pt-PT/article/evaluate-a-nested-formula-one-step-at-a-time-59a201ae-d1dc-4b15-8586-a70aa409b8a7?ui=pt-PT&amp;rs=en-001&amp;ad=us"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hyperlink" Target="https://support.office.com/pt-PT/article/what-s-new-in-excel-for-office-365-5fdb9208-ff33-45b6-9e08-1f5cdb3a6c73?ui=pt-PT&amp;rs=en-001&amp;ad=us" TargetMode="External"/><Relationship Id="rId1" Type="http://schemas.openxmlformats.org/officeDocument/2006/relationships/hyperlink" Target="https://techcommunity.microsoft.com/t5/excel/ct-p/excel_cat" TargetMode="External"/><Relationship Id="rId5" Type="http://schemas.openxmlformats.org/officeDocument/2006/relationships/image" Target="../media/image29.svg"/><Relationship Id="rId4"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absolute">
    <xdr:from>
      <xdr:col>0</xdr:col>
      <xdr:colOff>171450</xdr:colOff>
      <xdr:row>3</xdr:row>
      <xdr:rowOff>2193609</xdr:rowOff>
    </xdr:from>
    <xdr:to>
      <xdr:col>0</xdr:col>
      <xdr:colOff>2037428</xdr:colOff>
      <xdr:row>3</xdr:row>
      <xdr:rowOff>3201988</xdr:rowOff>
    </xdr:to>
    <xdr:pic>
      <xdr:nvPicPr>
        <xdr:cNvPr id="2" name="Imagem 1" descr="Logótipo do Excel">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115175" y="4779963"/>
    <xdr:ext cx="1313307" cy="514350"/>
    <xdr:sp macro="" textlink="">
      <xdr:nvSpPr>
        <xdr:cNvPr id="3" name="Botão Seguinte" descr="Forma de botão com hiperligação para aceder ao passo seguinte">
          <a:hlinkClick xmlns:r="http://schemas.openxmlformats.org/officeDocument/2006/relationships" r:id="rId2" tooltip="Selecione para iniciar a apresentação"/>
          <a:extLst>
            <a:ext uri="{FF2B5EF4-FFF2-40B4-BE49-F238E27FC236}">
              <a16:creationId xmlns:a16="http://schemas.microsoft.com/office/drawing/2014/main" id="{A16C62F8-5DAF-4A85-B660-EDB91A61244F}"/>
            </a:ext>
          </a:extLst>
        </xdr:cNvPr>
        <xdr:cNvSpPr/>
      </xdr:nvSpPr>
      <xdr:spPr>
        <a:xfrm>
          <a:off x="7115175" y="4779963"/>
          <a:ext cx="1313307"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pt-pt"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Vamos lá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2</xdr:col>
      <xdr:colOff>69152</xdr:colOff>
      <xdr:row>17</xdr:row>
      <xdr:rowOff>54673</xdr:rowOff>
    </xdr:from>
    <xdr:to>
      <xdr:col>6</xdr:col>
      <xdr:colOff>132017</xdr:colOff>
      <xdr:row>18</xdr:row>
      <xdr:rowOff>59626</xdr:rowOff>
    </xdr:to>
    <xdr:sp macro="" textlink="">
      <xdr:nvSpPr>
        <xdr:cNvPr id="2" name="Chaveta à esquerda 1">
          <a:extLst>
            <a:ext uri="{FF2B5EF4-FFF2-40B4-BE49-F238E27FC236}">
              <a16:creationId xmlns:a16="http://schemas.microsoft.com/office/drawing/2014/main" id="{54C5D094-828A-45E2-BC98-04EFB36DB99E}"/>
            </a:ext>
          </a:extLst>
        </xdr:cNvPr>
        <xdr:cNvSpPr/>
      </xdr:nvSpPr>
      <xdr:spPr>
        <a:xfrm rot="16200000">
          <a:off x="964883" y="2713672"/>
          <a:ext cx="178308" cy="1021080"/>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5294627</xdr:colOff>
      <xdr:row>26</xdr:row>
      <xdr:rowOff>76199</xdr:rowOff>
    </xdr:from>
    <xdr:to>
      <xdr:col>6</xdr:col>
      <xdr:colOff>243964</xdr:colOff>
      <xdr:row>33</xdr:row>
      <xdr:rowOff>171251</xdr:rowOff>
    </xdr:to>
    <xdr:pic>
      <xdr:nvPicPr>
        <xdr:cNvPr id="3" name="Imagem 2" descr="As constantes são valores que introduz em células ou fórmulas. Apesar de =10+20 efetuar um cálculo igual a =A1+B1, as constantes não são recomendadas porque não consegue ver a constante facilmente sem selecionar a célula e procurá-la. Assim, poderá ser difícil alterá-la posteriormente. É muito mais fácil colocar as suas constantes em células, onde podem ser facilmente ajustadas e referenciadas nas fórmulas.">
          <a:extLst>
            <a:ext uri="{FF2B5EF4-FFF2-40B4-BE49-F238E27FC236}">
              <a16:creationId xmlns:a16="http://schemas.microsoft.com/office/drawing/2014/main" id="{3808C00C-1654-4B71-AEA3-B46BBA6A8A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142352" y="5905499"/>
          <a:ext cx="4066667" cy="1580952"/>
        </a:xfrm>
        <a:prstGeom prst="rect">
          <a:avLst/>
        </a:prstGeom>
      </xdr:spPr>
    </xdr:pic>
    <xdr:clientData/>
  </xdr:twoCellAnchor>
  <xdr:twoCellAnchor editAs="oneCell">
    <xdr:from>
      <xdr:col>1</xdr:col>
      <xdr:colOff>5372100</xdr:colOff>
      <xdr:row>35</xdr:row>
      <xdr:rowOff>186409</xdr:rowOff>
    </xdr:from>
    <xdr:to>
      <xdr:col>6</xdr:col>
      <xdr:colOff>778579</xdr:colOff>
      <xdr:row>46</xdr:row>
      <xdr:rowOff>18529</xdr:rowOff>
    </xdr:to>
    <xdr:pic>
      <xdr:nvPicPr>
        <xdr:cNvPr id="4" name="Imagem 3" descr="Um intervalo de células inclui uma célula inicial, dois pontos (:) e uma célula final. Ao selecionar um intervalo de células para uma fórmula, o Excel adiciona os dois pontos automaticamente. Por exemplo, A1:A10 é o intervalo de células de A1 a A10.">
          <a:extLst>
            <a:ext uri="{FF2B5EF4-FFF2-40B4-BE49-F238E27FC236}">
              <a16:creationId xmlns:a16="http://schemas.microsoft.com/office/drawing/2014/main" id="{A10B1741-C031-4CCA-8649-E13E092B51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219825" y="7873084"/>
          <a:ext cx="4523809" cy="1923810"/>
        </a:xfrm>
        <a:prstGeom prst="rect">
          <a:avLst/>
        </a:prstGeom>
      </xdr:spPr>
    </xdr:pic>
    <xdr:clientData/>
  </xdr:twoCellAnchor>
  <xdr:twoCellAnchor editAs="absolute">
    <xdr:from>
      <xdr:col>0</xdr:col>
      <xdr:colOff>345256</xdr:colOff>
      <xdr:row>0</xdr:row>
      <xdr:rowOff>361950</xdr:rowOff>
    </xdr:from>
    <xdr:to>
      <xdr:col>1</xdr:col>
      <xdr:colOff>5240344</xdr:colOff>
      <xdr:row>22</xdr:row>
      <xdr:rowOff>97155</xdr:rowOff>
    </xdr:to>
    <xdr:grpSp>
      <xdr:nvGrpSpPr>
        <xdr:cNvPr id="106" name="Grupo 105">
          <a:extLst>
            <a:ext uri="{FF2B5EF4-FFF2-40B4-BE49-F238E27FC236}">
              <a16:creationId xmlns:a16="http://schemas.microsoft.com/office/drawing/2014/main" id="{B02C2868-90B4-49F8-9B54-D2DE144C06FB}"/>
            </a:ext>
          </a:extLst>
        </xdr:cNvPr>
        <xdr:cNvGrpSpPr/>
      </xdr:nvGrpSpPr>
      <xdr:grpSpPr>
        <a:xfrm>
          <a:off x="345256" y="358140"/>
          <a:ext cx="5758053" cy="4402455"/>
          <a:chOff x="333375" y="266700"/>
          <a:chExt cx="5695950" cy="4572000"/>
        </a:xfrm>
      </xdr:grpSpPr>
      <xdr:grpSp>
        <xdr:nvGrpSpPr>
          <xdr:cNvPr id="107" name="Instrução para somar números">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Fundo" descr="Fundo">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2" name="Passo" descr="Noções Básicas: matemática com o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Noções Básicas: matemática com o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Botão para ver mais detalhes" descr="Desça para ver mais detalhes">
              <a:hlinkClick xmlns:r="http://schemas.openxmlformats.org/officeDocument/2006/relationships" r:id="rId3"/>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124" name="Linha inferior" descr="Linha decorativa">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Botão Seguinte" descr="Botão Passo seguinte, com hiperligação para a folha seguinte">
              <a:hlinkClick xmlns:r="http://schemas.openxmlformats.org/officeDocument/2006/relationships" r:id="rId4" tooltip="Clique aqui para avançar para a folha de cálculo seguinte"/>
              <a:extLst>
                <a:ext uri="{FF2B5EF4-FFF2-40B4-BE49-F238E27FC236}">
                  <a16:creationId xmlns:a16="http://schemas.microsoft.com/office/drawing/2014/main" id="{B0BBFD4D-9951-4AC0-8CF1-AD7AD1715BA1}"/>
                </a:ext>
              </a:extLst>
            </xdr:cNvPr>
            <xdr:cNvSpPr/>
          </xdr:nvSpPr>
          <xdr:spPr>
            <a:xfrm>
              <a:off x="4085662" y="3996497"/>
              <a:ext cx="1362639" cy="348492"/>
            </a:xfrm>
            <a:prstGeom prst="rightArrowCallout">
              <a:avLst>
                <a:gd name="adj1" fmla="val 32829"/>
                <a:gd name="adj2" fmla="val 31524"/>
                <a:gd name="adj3" fmla="val 25000"/>
                <a:gd name="adj4" fmla="val 88440"/>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cxnSp macro="">
          <xdr:nvCxnSpPr>
            <xdr:cNvPr id="126" name="Linha superior" descr="Linha decorativa">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Passo" descr="Pode Somar, Subtrair, Multiplicar e Dividir no Excel sem utilizar funções incorporadas. Só precisa dos operadores +, -, *, /. Todas as fórmulas começam com um sinal de igual (=).">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Pode Somar, Subtrair, Multiplicar e Dividir no Excel sem utilizar funções incorporadas. Só precisa de alguns operadores básicos: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Todas as fórmulas começam com um sinal de igual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Passo">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Passo" descr="Para Somar, selecione a célula F3, escreva =C3+C4 e prima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selecione a célula F3,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Passo"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110" name="grp_Passo">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Passo" descr="Para Subtrair, selecione a célula F4, escreva =C3-C4 e prima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Subtrair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selecione a célula F4,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e prima </a:t>
              </a:r>
              <a:r>
                <a:rPr lang="pt-pt"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Enter</a:t>
              </a: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Passo"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111" name="grp_Passo">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Passo" descr="Para Multiplicar, selecione a célula F5, escreva =C3*C4 e prima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Multiplicar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selecione a célula F5,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Passo"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nvGrpSpPr>
          <xdr:cNvPr id="112" name="grp_Passo">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Passo" descr="Para Dividir, selecione a célula F6, escreva =C3/C4 e prima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Dividir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selecione a célula F6,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Passo"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322396</xdr:colOff>
      <xdr:row>23</xdr:row>
      <xdr:rowOff>634</xdr:rowOff>
    </xdr:from>
    <xdr:to>
      <xdr:col>1</xdr:col>
      <xdr:colOff>5221294</xdr:colOff>
      <xdr:row>55</xdr:row>
      <xdr:rowOff>22859</xdr:rowOff>
    </xdr:to>
    <xdr:sp macro="" textlink="">
      <xdr:nvSpPr>
        <xdr:cNvPr id="128" name="Retângulo 127" descr="Fundo">
          <a:extLst>
            <a:ext uri="{FF2B5EF4-FFF2-40B4-BE49-F238E27FC236}">
              <a16:creationId xmlns:a16="http://schemas.microsoft.com/office/drawing/2014/main" id="{C6DA8A49-5A77-4AE2-BD39-5BC07FDB559E}"/>
            </a:ext>
          </a:extLst>
        </xdr:cNvPr>
        <xdr:cNvSpPr/>
      </xdr:nvSpPr>
      <xdr:spPr>
        <a:xfrm>
          <a:off x="335731" y="5029199"/>
          <a:ext cx="5733288" cy="648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lientData/>
  </xdr:twoCellAnchor>
  <xdr:twoCellAnchor editAs="absolute">
    <xdr:from>
      <xdr:col>0</xdr:col>
      <xdr:colOff>550996</xdr:colOff>
      <xdr:row>26</xdr:row>
      <xdr:rowOff>169476</xdr:rowOff>
    </xdr:from>
    <xdr:to>
      <xdr:col>1</xdr:col>
      <xdr:colOff>4969556</xdr:colOff>
      <xdr:row>26</xdr:row>
      <xdr:rowOff>169476</xdr:rowOff>
    </xdr:to>
    <xdr:cxnSp macro="">
      <xdr:nvCxnSpPr>
        <xdr:cNvPr id="129" name="Conexão Reta 128" descr="Linha decorativa">
          <a:extLst>
            <a:ext uri="{FF2B5EF4-FFF2-40B4-BE49-F238E27FC236}">
              <a16:creationId xmlns:a16="http://schemas.microsoft.com/office/drawing/2014/main" id="{A37B1A9B-7A4A-4AFE-83FF-68ED0AF60BB5}"/>
            </a:ext>
          </a:extLst>
        </xdr:cNvPr>
        <xdr:cNvCxnSpPr>
          <a:cxnSpLocks/>
        </xdr:cNvCxnSpPr>
      </xdr:nvCxnSpPr>
      <xdr:spPr>
        <a:xfrm>
          <a:off x="554806" y="59873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550996</xdr:colOff>
      <xdr:row>51</xdr:row>
      <xdr:rowOff>59329</xdr:rowOff>
    </xdr:from>
    <xdr:to>
      <xdr:col>1</xdr:col>
      <xdr:colOff>4969556</xdr:colOff>
      <xdr:row>51</xdr:row>
      <xdr:rowOff>59329</xdr:rowOff>
    </xdr:to>
    <xdr:cxnSp macro="">
      <xdr:nvCxnSpPr>
        <xdr:cNvPr id="130" name="Conexão Reta 129" descr="Linha decorativa">
          <a:extLst>
            <a:ext uri="{FF2B5EF4-FFF2-40B4-BE49-F238E27FC236}">
              <a16:creationId xmlns:a16="http://schemas.microsoft.com/office/drawing/2014/main" id="{54D32FC2-4A3C-44C6-8554-5D7D5A124DFA}"/>
            </a:ext>
          </a:extLst>
        </xdr:cNvPr>
        <xdr:cNvCxnSpPr>
          <a:cxnSpLocks/>
        </xdr:cNvCxnSpPr>
      </xdr:nvCxnSpPr>
      <xdr:spPr>
        <a:xfrm>
          <a:off x="554806" y="1079781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550996</xdr:colOff>
      <xdr:row>23</xdr:row>
      <xdr:rowOff>56082</xdr:rowOff>
    </xdr:from>
    <xdr:to>
      <xdr:col>1</xdr:col>
      <xdr:colOff>4968919</xdr:colOff>
      <xdr:row>24</xdr:row>
      <xdr:rowOff>322827</xdr:rowOff>
    </xdr:to>
    <xdr:sp macro="" textlink="">
      <xdr:nvSpPr>
        <xdr:cNvPr id="131" name="Passo" descr="Mais informações sobre fórmulas, células e intervalo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sobre fórmulas, células e intervalos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472891</xdr:colOff>
      <xdr:row>27</xdr:row>
      <xdr:rowOff>98199</xdr:rowOff>
    </xdr:from>
    <xdr:to>
      <xdr:col>1</xdr:col>
      <xdr:colOff>4915399</xdr:colOff>
      <xdr:row>30</xdr:row>
      <xdr:rowOff>0</xdr:rowOff>
    </xdr:to>
    <xdr:sp macro="" textlink="">
      <xdr:nvSpPr>
        <xdr:cNvPr id="132" name="txt_Passo" descr="O Excel é composto por células individuais agrupadas em Linhas e Colunas. As Linhas são numeradas e as Colunas têm letras. Existem 1 048 576 linhas e 16 384 colunas, e pode escrever fórmulas e funções em qualquer uma.">
          <a:extLst>
            <a:ext uri="{FF2B5EF4-FFF2-40B4-BE49-F238E27FC236}">
              <a16:creationId xmlns:a16="http://schemas.microsoft.com/office/drawing/2014/main" id="{C309FDDD-7DD5-4C0A-A9F5-43E33DAD131C}"/>
            </a:ext>
          </a:extLst>
        </xdr:cNvPr>
        <xdr:cNvSpPr txBox="1"/>
      </xdr:nvSpPr>
      <xdr:spPr>
        <a:xfrm>
          <a:off x="469081" y="6114189"/>
          <a:ext cx="5294043" cy="61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 Excel é composto por células individuais agrupadas em linhas e colunas. As linhas são numeradas e as colunas têm letras. Existem mais de um milhão de linhas e 16 mil colunas, e pode escrever fórmulas em qualquer uma delas.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472891</xdr:colOff>
      <xdr:row>30</xdr:row>
      <xdr:rowOff>21498</xdr:rowOff>
    </xdr:from>
    <xdr:to>
      <xdr:col>1</xdr:col>
      <xdr:colOff>4915399</xdr:colOff>
      <xdr:row>36</xdr:row>
      <xdr:rowOff>148945</xdr:rowOff>
    </xdr:to>
    <xdr:sp macro="" textlink="">
      <xdr:nvSpPr>
        <xdr:cNvPr id="133" name="txt_Passo"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7671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As fórmulas podem conter referências a células, intervalos de referências a células, operadores e constantes. Eis alguns exemplos de fórmulas:</a:t>
          </a:r>
        </a:p>
        <a:p>
          <a:pPr marL="457200" marR="0" lvl="1"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=SOMA(A1:A10)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472891</xdr:colOff>
      <xdr:row>36</xdr:row>
      <xdr:rowOff>96355</xdr:rowOff>
    </xdr:from>
    <xdr:to>
      <xdr:col>1</xdr:col>
      <xdr:colOff>5046796</xdr:colOff>
      <xdr:row>42</xdr:row>
      <xdr:rowOff>171450</xdr:rowOff>
    </xdr:to>
    <xdr:sp macro="" textlink="">
      <xdr:nvSpPr>
        <xdr:cNvPr id="134" name="txt_Passo" descr="No terceiro exemplo acima, utilizámos a função SOMA. Uma função é um comando pré-criado que calcula um ou mais valores e devolve um resultado. Por exemplo, a função SOMA soma as referências ou intervalos de células que especificar. Neste exemplo, soma as células A1 a A10. O Excel tem mais de 400 funções, que pode explorar no separador Fórmulas.&#10;">
          <a:extLst>
            <a:ext uri="{FF2B5EF4-FFF2-40B4-BE49-F238E27FC236}">
              <a16:creationId xmlns:a16="http://schemas.microsoft.com/office/drawing/2014/main" id="{73D9B0E0-3581-491E-A150-07F5BAA0F86D}"/>
            </a:ext>
          </a:extLst>
        </xdr:cNvPr>
        <xdr:cNvSpPr txBox="1"/>
      </xdr:nvSpPr>
      <xdr:spPr>
        <a:xfrm>
          <a:off x="469081" y="7977340"/>
          <a:ext cx="5429250" cy="1204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 terceiro exemplo acima, utilizámos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Uma função é um comando previamente criado que calcula um ou mais valores e devolve um resultado. Por exemplo,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soma as referências ou intervalos de células que especificar. Neste exemplo, soma as células A1 a A10. O Excel tem mais de 400 funções, que pode explorar no separador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472892</xdr:colOff>
      <xdr:row>43</xdr:row>
      <xdr:rowOff>3329</xdr:rowOff>
    </xdr:from>
    <xdr:to>
      <xdr:col>1</xdr:col>
      <xdr:colOff>4953001</xdr:colOff>
      <xdr:row>45</xdr:row>
      <xdr:rowOff>134210</xdr:rowOff>
    </xdr:to>
    <xdr:sp macro="" textlink="">
      <xdr:nvSpPr>
        <xdr:cNvPr id="135" name="txt_Passo" descr="As fórmulas com funções começam com um sinal de igual, seguido do nome da função e dos argumentos (os valores que uma função utiliza para calcular) entre parênteses. &#10;&#10;">
          <a:extLst>
            <a:ext uri="{FF2B5EF4-FFF2-40B4-BE49-F238E27FC236}">
              <a16:creationId xmlns:a16="http://schemas.microsoft.com/office/drawing/2014/main" id="{066FFF9C-96C0-4C5A-AFA6-27C4951F9C44}"/>
            </a:ext>
          </a:extLst>
        </xdr:cNvPr>
        <xdr:cNvSpPr txBox="1"/>
      </xdr:nvSpPr>
      <xdr:spPr>
        <a:xfrm>
          <a:off x="469082" y="9206384"/>
          <a:ext cx="5331644"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As fórmulas com funções começam com um sinal de igual, seguido do nome da função e dos argumentos (os valores que uma função utiliza para calcular) entre parênteses.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472891</xdr:colOff>
      <xdr:row>45</xdr:row>
      <xdr:rowOff>129605</xdr:rowOff>
    </xdr:from>
    <xdr:to>
      <xdr:col>1</xdr:col>
      <xdr:colOff>5031556</xdr:colOff>
      <xdr:row>51</xdr:row>
      <xdr:rowOff>20152</xdr:rowOff>
    </xdr:to>
    <xdr:sp macro="" textlink="">
      <xdr:nvSpPr>
        <xdr:cNvPr id="136" name="txt_Passo" descr="Pode confirmar uma fórmula ao premir Enter. Após isso, a fórmula irá efetuar o cálculo e o resultado será apresentado na célula. Para ver a fórmula em si, pode observar a barra de fórmulas abaixo do Friso ou premir F2 para entrar no Modo de edição, onde verá a fórmula na célula. Prima Enter novamente para finalizar a fórmula e calcular o resultado.&#10;">
          <a:extLst>
            <a:ext uri="{FF2B5EF4-FFF2-40B4-BE49-F238E27FC236}">
              <a16:creationId xmlns:a16="http://schemas.microsoft.com/office/drawing/2014/main" id="{5586BF07-B001-4F35-B7E4-70A08A528E83}"/>
            </a:ext>
          </a:extLst>
        </xdr:cNvPr>
        <xdr:cNvSpPr txBox="1"/>
      </xdr:nvSpPr>
      <xdr:spPr>
        <a:xfrm>
          <a:off x="469081" y="97136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Pode confirmar uma fórmula ao premir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Após isso, a fórmula irá efetuar o cálculo e o resultado será apresentado na célula. Para ver a fórmula em si, pode observar a barra de fórmulas por baixo do Friso ou premir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entrar no Modo de edição, onde verá a fórmula na célula. Prima</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novamente para finalizar a fórmula e calcular o resultado.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474796</xdr:colOff>
      <xdr:row>52</xdr:row>
      <xdr:rowOff>21102</xdr:rowOff>
    </xdr:from>
    <xdr:to>
      <xdr:col>1</xdr:col>
      <xdr:colOff>898431</xdr:colOff>
      <xdr:row>53</xdr:row>
      <xdr:rowOff>173671</xdr:rowOff>
    </xdr:to>
    <xdr:sp macro="" textlink="">
      <xdr:nvSpPr>
        <xdr:cNvPr id="137" name="BotãoAnterior" descr="Regressar à folha anterior">
          <a:hlinkClick xmlns:r="http://schemas.openxmlformats.org/officeDocument/2006/relationships" r:id="rId5" tooltip="Clique aqui para voltar à folha anterior"/>
          <a:extLst>
            <a:ext uri="{FF2B5EF4-FFF2-40B4-BE49-F238E27FC236}">
              <a16:creationId xmlns:a16="http://schemas.microsoft.com/office/drawing/2014/main" id="{BEFD400E-6244-40BE-8D92-330023967DDC}"/>
            </a:ext>
          </a:extLst>
        </xdr:cNvPr>
        <xdr:cNvSpPr/>
      </xdr:nvSpPr>
      <xdr:spPr>
        <a:xfrm flipH="1">
          <a:off x="478606" y="109500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3601267</xdr:colOff>
      <xdr:row>52</xdr:row>
      <xdr:rowOff>21102</xdr:rowOff>
    </xdr:from>
    <xdr:to>
      <xdr:col>1</xdr:col>
      <xdr:colOff>4857387</xdr:colOff>
      <xdr:row>53</xdr:row>
      <xdr:rowOff>173671</xdr:rowOff>
    </xdr:to>
    <xdr:sp macro="" textlink="">
      <xdr:nvSpPr>
        <xdr:cNvPr id="138" name="BotãoSeguinte" descr="Avançar para a folha seguinte">
          <a:hlinkClick xmlns:r="http://schemas.openxmlformats.org/officeDocument/2006/relationships" r:id="rId4" tooltip="Clique aqui para avançar para a folha seguinte"/>
          <a:extLst>
            <a:ext uri="{FF2B5EF4-FFF2-40B4-BE49-F238E27FC236}">
              <a16:creationId xmlns:a16="http://schemas.microsoft.com/office/drawing/2014/main" id="{DD56E08A-C3A9-475A-87AB-52A78D988C6C}"/>
            </a:ext>
          </a:extLst>
        </xdr:cNvPr>
        <xdr:cNvSpPr/>
      </xdr:nvSpPr>
      <xdr:spPr>
        <a:xfrm>
          <a:off x="4439467" y="109500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5</xdr:col>
      <xdr:colOff>436694</xdr:colOff>
      <xdr:row>6</xdr:row>
      <xdr:rowOff>114299</xdr:rowOff>
    </xdr:from>
    <xdr:to>
      <xdr:col>8</xdr:col>
      <xdr:colOff>533398</xdr:colOff>
      <xdr:row>12</xdr:row>
      <xdr:rowOff>131444</xdr:rowOff>
    </xdr:to>
    <xdr:grpSp>
      <xdr:nvGrpSpPr>
        <xdr:cNvPr id="139" name="PONTOS EXTRA" descr="PONTOS EXTRA&#10;&#10;">
          <a:extLst>
            <a:ext uri="{FF2B5EF4-FFF2-40B4-BE49-F238E27FC236}">
              <a16:creationId xmlns:a16="http://schemas.microsoft.com/office/drawing/2014/main" id="{34B095E6-B82C-4533-81A2-82946450BAFD}"/>
            </a:ext>
          </a:extLst>
        </xdr:cNvPr>
        <xdr:cNvGrpSpPr/>
      </xdr:nvGrpSpPr>
      <xdr:grpSpPr>
        <a:xfrm>
          <a:off x="9632129" y="1847849"/>
          <a:ext cx="2712269" cy="1125855"/>
          <a:chOff x="9048750" y="3743325"/>
          <a:chExt cx="2611207" cy="1153413"/>
        </a:xfrm>
      </xdr:grpSpPr>
      <xdr:sp macro="" textlink="">
        <xdr:nvSpPr>
          <xdr:cNvPr id="140" name="Passo"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2011314"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panose="020B0502040204020203" pitchFamily="34" charset="0"/>
              </a:rPr>
              <a:t>PONTOS EXTRA</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Pode elevar um valor à potência com o acento circunflexo (</a:t>
            </a:r>
            <a:r>
              <a:rPr lang="pt-pt" sz="1100" b="1" i="0" kern="1200" baseline="0">
                <a:solidFill>
                  <a:schemeClr val="dk1"/>
                </a:solidFill>
                <a:effectLst/>
                <a:latin typeface="+mn-lt"/>
                <a:ea typeface="+mn-ea"/>
                <a:cs typeface="+mn-cs"/>
              </a:rPr>
              <a:t>^</a:t>
            </a:r>
            <a:r>
              <a:rPr lang="pt-pt" sz="1100" b="0" i="0" kern="1200" baseline="0">
                <a:solidFill>
                  <a:schemeClr val="dk1"/>
                </a:solidFill>
                <a:effectLst/>
                <a:latin typeface="+mn-lt"/>
                <a:ea typeface="+mn-ea"/>
                <a:cs typeface="+mn-cs"/>
              </a:rPr>
              <a:t>), por exemplo, =C3^C4. Pode introduzi-lo ao premir </a:t>
            </a:r>
            <a:r>
              <a:rPr lang="pt-pt" sz="1100" b="1" i="0" kern="1200" baseline="0">
                <a:solidFill>
                  <a:schemeClr val="dk1"/>
                </a:solidFill>
                <a:effectLst/>
                <a:latin typeface="+mn-lt"/>
                <a:ea typeface="+mn-ea"/>
                <a:cs typeface="+mn-cs"/>
              </a:rPr>
              <a:t>Shift+~</a:t>
            </a:r>
            <a:r>
              <a:rPr lang="pt-pt" sz="1100" b="0" i="0" kern="1200" baseline="0">
                <a:solidFill>
                  <a:schemeClr val="dk1"/>
                </a:solidFill>
                <a:effectLst/>
                <a:latin typeface="+mn-lt"/>
                <a:ea typeface="+mn-ea"/>
                <a:cs typeface="+mn-cs"/>
              </a:rPr>
              <a:t>.</a:t>
            </a:r>
          </a:p>
        </xdr:txBody>
      </xdr:sp>
      <xdr:pic>
        <xdr:nvPicPr>
          <xdr:cNvPr id="141" name="Fita de pontos extra" descr="Fita decorativa">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287099" y="3950551"/>
            <a:ext cx="474289" cy="439736"/>
          </a:xfrm>
          <a:prstGeom prst="rect">
            <a:avLst/>
          </a:prstGeom>
        </xdr:spPr>
      </xdr:pic>
      <xdr:sp macro="" textlink="">
        <xdr:nvSpPr>
          <xdr:cNvPr id="142" name="Seta de Pontos Extra" descr="Seta">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absolute">
    <xdr:from>
      <xdr:col>0</xdr:col>
      <xdr:colOff>325755</xdr:colOff>
      <xdr:row>55</xdr:row>
      <xdr:rowOff>131444</xdr:rowOff>
    </xdr:from>
    <xdr:to>
      <xdr:col>1</xdr:col>
      <xdr:colOff>5218938</xdr:colOff>
      <xdr:row>70</xdr:row>
      <xdr:rowOff>38099</xdr:rowOff>
    </xdr:to>
    <xdr:grpSp>
      <xdr:nvGrpSpPr>
        <xdr:cNvPr id="143" name="Grupo 142">
          <a:extLst>
            <a:ext uri="{FF2B5EF4-FFF2-40B4-BE49-F238E27FC236}">
              <a16:creationId xmlns:a16="http://schemas.microsoft.com/office/drawing/2014/main" id="{79AC946A-932E-4F38-8B0A-9F23F83F1E52}"/>
            </a:ext>
          </a:extLst>
        </xdr:cNvPr>
        <xdr:cNvGrpSpPr/>
      </xdr:nvGrpSpPr>
      <xdr:grpSpPr>
        <a:xfrm>
          <a:off x="321945" y="11146154"/>
          <a:ext cx="5763768" cy="2617470"/>
          <a:chOff x="350069" y="11620499"/>
          <a:chExt cx="5733288" cy="2771775"/>
        </a:xfrm>
      </xdr:grpSpPr>
      <xdr:sp macro="" textlink="">
        <xdr:nvSpPr>
          <xdr:cNvPr id="144" name="Retângulo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5" name="Passo" descr="Mais informações na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Conexão Reta 145" descr="Linha decorativa">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Conexão Reta 146" descr="Linha decorativa">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551516</xdr:colOff>
      <xdr:row>58</xdr:row>
      <xdr:rowOff>150995</xdr:rowOff>
    </xdr:from>
    <xdr:to>
      <xdr:col>1</xdr:col>
      <xdr:colOff>3276600</xdr:colOff>
      <xdr:row>60</xdr:row>
      <xdr:rowOff>136338</xdr:rowOff>
    </xdr:to>
    <xdr:grpSp>
      <xdr:nvGrpSpPr>
        <xdr:cNvPr id="148" name="Grupo 147">
          <a:extLst>
            <a:ext uri="{FF2B5EF4-FFF2-40B4-BE49-F238E27FC236}">
              <a16:creationId xmlns:a16="http://schemas.microsoft.com/office/drawing/2014/main" id="{CA7B2371-3B06-4B9B-9469-235F43CE38D0}"/>
            </a:ext>
          </a:extLst>
        </xdr:cNvPr>
        <xdr:cNvGrpSpPr/>
      </xdr:nvGrpSpPr>
      <xdr:grpSpPr>
        <a:xfrm>
          <a:off x="555326" y="11704820"/>
          <a:ext cx="3588049" cy="343483"/>
          <a:chOff x="552970" y="11990570"/>
          <a:chExt cx="3568999" cy="377773"/>
        </a:xfrm>
      </xdr:grpSpPr>
      <xdr:sp macro="" textlink="">
        <xdr:nvSpPr>
          <xdr:cNvPr id="149" name="Passo" descr="Tudo sobre a função MÉDIA, com hiperligação para a Web&#10;&#10;">
            <a:hlinkClick xmlns:r="http://schemas.openxmlformats.org/officeDocument/2006/relationships" r:id="rId8" tooltip="Selecione para aceder à Web e saber tudo sobre como utilizar o Excel como uma calculadora"/>
            <a:extLst>
              <a:ext uri="{FF2B5EF4-FFF2-40B4-BE49-F238E27FC236}">
                <a16:creationId xmlns:a16="http://schemas.microsoft.com/office/drawing/2014/main" id="{94DAAE3B-3571-4AC2-BCCC-AD998F75E3DC}"/>
              </a:ext>
            </a:extLst>
          </xdr:cNvPr>
          <xdr:cNvSpPr txBox="1"/>
        </xdr:nvSpPr>
        <xdr:spPr>
          <a:xfrm>
            <a:off x="1002467" y="12068801"/>
            <a:ext cx="3119502"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Utilizar o Excel como uma calculadora</a:t>
            </a:r>
          </a:p>
        </xdr:txBody>
      </xdr:sp>
      <xdr:pic>
        <xdr:nvPicPr>
          <xdr:cNvPr id="150" name="Gráfico 22" descr="Selecione para obter mais informações na Web">
            <a:hlinkClick xmlns:r="http://schemas.openxmlformats.org/officeDocument/2006/relationships" r:id="rId8" tooltip="Selecione para obter mais informações na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551516</xdr:colOff>
      <xdr:row>60</xdr:row>
      <xdr:rowOff>156025</xdr:rowOff>
    </xdr:from>
    <xdr:to>
      <xdr:col>1</xdr:col>
      <xdr:colOff>3215640</xdr:colOff>
      <xdr:row>62</xdr:row>
      <xdr:rowOff>171720</xdr:rowOff>
    </xdr:to>
    <xdr:grpSp>
      <xdr:nvGrpSpPr>
        <xdr:cNvPr id="151" name="Grupo 150" descr="Descrição geral de fórmulas no Excel">
          <a:extLst>
            <a:ext uri="{FF2B5EF4-FFF2-40B4-BE49-F238E27FC236}">
              <a16:creationId xmlns:a16="http://schemas.microsoft.com/office/drawing/2014/main" id="{DBBBF993-8DF8-4B72-8129-E3AA07A81756}"/>
            </a:ext>
          </a:extLst>
        </xdr:cNvPr>
        <xdr:cNvGrpSpPr/>
      </xdr:nvGrpSpPr>
      <xdr:grpSpPr>
        <a:xfrm>
          <a:off x="555326" y="12071800"/>
          <a:ext cx="3530899" cy="373835"/>
          <a:chOff x="552970" y="12376600"/>
          <a:chExt cx="3511849" cy="383360"/>
        </a:xfrm>
      </xdr:grpSpPr>
      <xdr:sp macro="" textlink="">
        <xdr:nvSpPr>
          <xdr:cNvPr id="152" name="Passo" descr="Tudo sobre a função CONTAR, com hiperligação para a Web&#10;">
            <a:hlinkClick xmlns:r="http://schemas.openxmlformats.org/officeDocument/2006/relationships" r:id="rId11" tooltip="Selecione para aceder à Web e saber tudo sobre as fórmulas do Excel"/>
            <a:extLst>
              <a:ext uri="{FF2B5EF4-FFF2-40B4-BE49-F238E27FC236}">
                <a16:creationId xmlns:a16="http://schemas.microsoft.com/office/drawing/2014/main" id="{68253150-FDCC-4078-B423-C873DCBF4AD9}"/>
              </a:ext>
            </a:extLst>
          </xdr:cNvPr>
          <xdr:cNvSpPr txBox="1"/>
        </xdr:nvSpPr>
        <xdr:spPr>
          <a:xfrm>
            <a:off x="1002467" y="12466356"/>
            <a:ext cx="3062352"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Descrição geral de fórmulas no Excel</a:t>
            </a:r>
          </a:p>
        </xdr:txBody>
      </xdr:sp>
      <xdr:pic>
        <xdr:nvPicPr>
          <xdr:cNvPr id="153" name="Gráfico 22" descr="Selecione para obter mais informações na Web">
            <a:hlinkClick xmlns:r="http://schemas.openxmlformats.org/officeDocument/2006/relationships" r:id="rId11" tooltip="Selecione para obter mais informações na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551516</xdr:colOff>
      <xdr:row>62</xdr:row>
      <xdr:rowOff>171013</xdr:rowOff>
    </xdr:from>
    <xdr:to>
      <xdr:col>1</xdr:col>
      <xdr:colOff>2415990</xdr:colOff>
      <xdr:row>64</xdr:row>
      <xdr:rowOff>167786</xdr:rowOff>
    </xdr:to>
    <xdr:grpSp>
      <xdr:nvGrpSpPr>
        <xdr:cNvPr id="154" name="Grupo 153">
          <a:extLst>
            <a:ext uri="{FF2B5EF4-FFF2-40B4-BE49-F238E27FC236}">
              <a16:creationId xmlns:a16="http://schemas.microsoft.com/office/drawing/2014/main" id="{97003A87-44BF-4E57-A760-19DF355C2169}"/>
            </a:ext>
          </a:extLst>
        </xdr:cNvPr>
        <xdr:cNvGrpSpPr/>
      </xdr:nvGrpSpPr>
      <xdr:grpSpPr>
        <a:xfrm>
          <a:off x="555326" y="12452548"/>
          <a:ext cx="2731249" cy="358723"/>
          <a:chOff x="552970" y="12776398"/>
          <a:chExt cx="2704579" cy="377773"/>
        </a:xfrm>
      </xdr:grpSpPr>
      <xdr:sp macro="" textlink="">
        <xdr:nvSpPr>
          <xdr:cNvPr id="155" name="Passo" descr="Utilizar o Excel como uma calculadora, com hiperligação para a Web&#10;">
            <a:hlinkClick xmlns:r="http://schemas.openxmlformats.org/officeDocument/2006/relationships" r:id="rId12" tooltip="Selecione para aceder à Web e saber tudo sobre as funções do Excel por categoria"/>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 categoria) </a:t>
            </a:r>
          </a:p>
        </xdr:txBody>
      </xdr:sp>
      <xdr:pic>
        <xdr:nvPicPr>
          <xdr:cNvPr id="156" name="Gráfico 155" descr="Selecione para obter mais informações na Web">
            <a:hlinkClick xmlns:r="http://schemas.openxmlformats.org/officeDocument/2006/relationships" r:id="rId12" tooltip="Selecione para obter mais informações na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556079</xdr:colOff>
      <xdr:row>65</xdr:row>
      <xdr:rowOff>3802</xdr:rowOff>
    </xdr:from>
    <xdr:to>
      <xdr:col>1</xdr:col>
      <xdr:colOff>3863340</xdr:colOff>
      <xdr:row>66</xdr:row>
      <xdr:rowOff>173802</xdr:rowOff>
    </xdr:to>
    <xdr:grpSp>
      <xdr:nvGrpSpPr>
        <xdr:cNvPr id="157" name="Grupo 156">
          <a:extLst>
            <a:ext uri="{FF2B5EF4-FFF2-40B4-BE49-F238E27FC236}">
              <a16:creationId xmlns:a16="http://schemas.microsoft.com/office/drawing/2014/main" id="{71257630-43F1-4787-B9D3-FAD6BF048228}"/>
            </a:ext>
          </a:extLst>
        </xdr:cNvPr>
        <xdr:cNvGrpSpPr/>
      </xdr:nvGrpSpPr>
      <xdr:grpSpPr>
        <a:xfrm>
          <a:off x="552269" y="12824452"/>
          <a:ext cx="4181656" cy="347165"/>
          <a:chOff x="565153" y="13169257"/>
          <a:chExt cx="4147366" cy="383360"/>
        </a:xfrm>
      </xdr:grpSpPr>
      <xdr:sp macro="" textlink="">
        <xdr:nvSpPr>
          <xdr:cNvPr id="158" name="Passo" descr="Formação online gratuita do Excel, com hiperligação para a Web&#10;">
            <a:hlinkClick xmlns:r="http://schemas.openxmlformats.org/officeDocument/2006/relationships" r:id="rId13" tooltip="Selecione para aceder à Web e saber tudo sobre as funções do Excel (por ordem alfabética)"/>
            <a:extLst>
              <a:ext uri="{FF2B5EF4-FFF2-40B4-BE49-F238E27FC236}">
                <a16:creationId xmlns:a16="http://schemas.microsoft.com/office/drawing/2014/main" id="{A1D2C3A9-E7A3-44B5-93E4-99B051F60D72}"/>
              </a:ext>
            </a:extLst>
          </xdr:cNvPr>
          <xdr:cNvSpPr txBox="1"/>
        </xdr:nvSpPr>
        <xdr:spPr>
          <a:xfrm>
            <a:off x="1014649" y="13253084"/>
            <a:ext cx="3697870"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 ordem alfabética) </a:t>
            </a:r>
          </a:p>
        </xdr:txBody>
      </xdr:sp>
      <xdr:pic>
        <xdr:nvPicPr>
          <xdr:cNvPr id="159" name="Gráfico 22" descr="Selecione para obter mais informações na Web">
            <a:hlinkClick xmlns:r="http://schemas.openxmlformats.org/officeDocument/2006/relationships" r:id="rId13" tooltip="Selecione para obter mais informações na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588464</xdr:colOff>
      <xdr:row>67</xdr:row>
      <xdr:rowOff>3802</xdr:rowOff>
    </xdr:from>
    <xdr:to>
      <xdr:col>1</xdr:col>
      <xdr:colOff>3025140</xdr:colOff>
      <xdr:row>68</xdr:row>
      <xdr:rowOff>173802</xdr:rowOff>
    </xdr:to>
    <xdr:grpSp>
      <xdr:nvGrpSpPr>
        <xdr:cNvPr id="160" name="Grupo 159">
          <a:extLst>
            <a:ext uri="{FF2B5EF4-FFF2-40B4-BE49-F238E27FC236}">
              <a16:creationId xmlns:a16="http://schemas.microsoft.com/office/drawing/2014/main" id="{32835AA2-E6D6-41DC-B4E4-AF07FAC19150}"/>
            </a:ext>
          </a:extLst>
        </xdr:cNvPr>
        <xdr:cNvGrpSpPr/>
      </xdr:nvGrpSpPr>
      <xdr:grpSpPr>
        <a:xfrm>
          <a:off x="592274" y="13186402"/>
          <a:ext cx="3303451" cy="347165"/>
          <a:chOff x="574678" y="13550257"/>
          <a:chExt cx="3299641" cy="383360"/>
        </a:xfrm>
      </xdr:grpSpPr>
      <xdr:sp macro="" textlink="">
        <xdr:nvSpPr>
          <xdr:cNvPr id="161" name="Passo" descr="Formação online gratuita do Excel, com hiperligação para a Web&#10;">
            <a:hlinkClick xmlns:r="http://schemas.openxmlformats.org/officeDocument/2006/relationships" r:id="rId14" tooltip="Selecione para aceder à Web e obter formação online gratuita do Excel"/>
            <a:extLst>
              <a:ext uri="{FF2B5EF4-FFF2-40B4-BE49-F238E27FC236}">
                <a16:creationId xmlns:a16="http://schemas.microsoft.com/office/drawing/2014/main" id="{BBD9D617-8BE8-4A77-A4A7-46711DF153C7}"/>
              </a:ext>
            </a:extLst>
          </xdr:cNvPr>
          <xdr:cNvSpPr txBox="1"/>
        </xdr:nvSpPr>
        <xdr:spPr>
          <a:xfrm>
            <a:off x="1024175" y="13634084"/>
            <a:ext cx="2850144"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62" name="Gráfico 22" descr="Selecione para obter mais informações na Web">
            <a:hlinkClick xmlns:r="http://schemas.openxmlformats.org/officeDocument/2006/relationships" r:id="rId14" tooltip="Selecione para obter mais informações na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5273993</xdr:colOff>
      <xdr:row>4</xdr:row>
      <xdr:rowOff>21599</xdr:rowOff>
    </xdr:from>
    <xdr:to>
      <xdr:col>4</xdr:col>
      <xdr:colOff>746482</xdr:colOff>
      <xdr:row>14</xdr:row>
      <xdr:rowOff>93344</xdr:rowOff>
    </xdr:to>
    <xdr:grpSp>
      <xdr:nvGrpSpPr>
        <xdr:cNvPr id="163" name="Grupo 162">
          <a:extLst>
            <a:ext uri="{FF2B5EF4-FFF2-40B4-BE49-F238E27FC236}">
              <a16:creationId xmlns:a16="http://schemas.microsoft.com/office/drawing/2014/main" id="{C2C01485-52DA-46D7-91BA-2CB22C9C592D}"/>
            </a:ext>
          </a:extLst>
        </xdr:cNvPr>
        <xdr:cNvGrpSpPr/>
      </xdr:nvGrpSpPr>
      <xdr:grpSpPr>
        <a:xfrm>
          <a:off x="6144578" y="1370339"/>
          <a:ext cx="2551469" cy="1936740"/>
          <a:chOff x="6284692" y="1200514"/>
          <a:chExt cx="2351528" cy="1966648"/>
        </a:xfrm>
      </xdr:grpSpPr>
      <xdr:grpSp>
        <xdr:nvGrpSpPr>
          <xdr:cNvPr id="164" name="Linhas de chavetas">
            <a:extLst>
              <a:ext uri="{FF2B5EF4-FFF2-40B4-BE49-F238E27FC236}">
                <a16:creationId xmlns:a16="http://schemas.microsoft.com/office/drawing/2014/main" id="{C6C732D8-8C93-4CFB-BAD8-7EB1D0E191AF}"/>
              </a:ext>
            </a:extLst>
          </xdr:cNvPr>
          <xdr:cNvGrpSpPr/>
        </xdr:nvGrpSpPr>
        <xdr:grpSpPr>
          <a:xfrm rot="5886532">
            <a:off x="6871149" y="941736"/>
            <a:ext cx="563095" cy="1080652"/>
            <a:chOff x="9786973" y="878183"/>
            <a:chExt cx="273326" cy="919269"/>
          </a:xfrm>
        </xdr:grpSpPr>
        <xdr:sp macro="" textlink="">
          <xdr:nvSpPr>
            <xdr:cNvPr id="167" name="Outra linha de chavetas" descr="Linha de chavetas">
              <a:extLst>
                <a:ext uri="{FF2B5EF4-FFF2-40B4-BE49-F238E27FC236}">
                  <a16:creationId xmlns:a16="http://schemas.microsoft.com/office/drawing/2014/main" id="{CE60D9BE-1267-484B-8547-1136C10EC14C}"/>
                </a:ext>
              </a:extLst>
            </xdr:cNvPr>
            <xdr:cNvSpPr/>
          </xdr:nvSpPr>
          <xdr:spPr>
            <a:xfrm>
              <a:off x="9786973" y="878183"/>
              <a:ext cx="273326" cy="39288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8" name="Linha de chavetas" descr="Linha de chavetas&#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65" name="Estrelas" descr="Estrela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284692" y="1993317"/>
            <a:ext cx="323250" cy="337815"/>
          </a:xfrm>
          <a:prstGeom prst="rect">
            <a:avLst/>
          </a:prstGeom>
        </xdr:spPr>
      </xdr:pic>
      <xdr:sp macro="" textlink="">
        <xdr:nvSpPr>
          <xdr:cNvPr id="166" name="Instruçõe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3"/>
            <a:ext cx="1969112" cy="1273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rtl="0"/>
            <a:r>
              <a:rPr lang="pt-pt" sz="1100" kern="1200">
                <a:solidFill>
                  <a:schemeClr val="dk1"/>
                </a:solidFill>
                <a:effectLst/>
                <a:latin typeface="+mn-lt"/>
                <a:ea typeface="+mn-ea"/>
                <a:cs typeface="+mn-cs"/>
              </a:rPr>
              <a:t>Altere</a:t>
            </a:r>
            <a:r>
              <a:rPr lang="pt-pt" sz="1100" kern="1200" baseline="0">
                <a:solidFill>
                  <a:schemeClr val="dk1"/>
                </a:solidFill>
                <a:effectLst/>
                <a:latin typeface="+mn-lt"/>
                <a:ea typeface="+mn-ea"/>
                <a:cs typeface="+mn-cs"/>
              </a:rPr>
              <a:t> estes números e veja os resultados das fórmulas a mudar automaticamente.</a:t>
            </a:r>
            <a:endParaRPr lang="en-US" sz="1100">
              <a:effectLst/>
            </a:endParaRPr>
          </a:p>
        </xdr:txBody>
      </xdr:sp>
    </xdr:grpSp>
    <xdr:clientData/>
  </xdr:twoCellAnchor>
  <xdr:twoCellAnchor editAs="absolute">
    <xdr:from>
      <xdr:col>6</xdr:col>
      <xdr:colOff>284516</xdr:colOff>
      <xdr:row>25</xdr:row>
      <xdr:rowOff>133584</xdr:rowOff>
    </xdr:from>
    <xdr:to>
      <xdr:col>12</xdr:col>
      <xdr:colOff>93795</xdr:colOff>
      <xdr:row>37</xdr:row>
      <xdr:rowOff>171450</xdr:rowOff>
    </xdr:to>
    <xdr:grpSp>
      <xdr:nvGrpSpPr>
        <xdr:cNvPr id="170" name="INFORMAÇÕES ÚTEIS" descr="INFORMAÇÕES ÚTEIS&#10;&#10;">
          <a:extLst>
            <a:ext uri="{FF2B5EF4-FFF2-40B4-BE49-F238E27FC236}">
              <a16:creationId xmlns:a16="http://schemas.microsoft.com/office/drawing/2014/main" id="{C43C872B-4996-44B6-9821-46907E2D5805}"/>
            </a:ext>
          </a:extLst>
        </xdr:cNvPr>
        <xdr:cNvGrpSpPr/>
      </xdr:nvGrpSpPr>
      <xdr:grpSpPr>
        <a:xfrm>
          <a:off x="10556276" y="5568549"/>
          <a:ext cx="3866929" cy="2352441"/>
          <a:chOff x="7053810" y="15226304"/>
          <a:chExt cx="3722724" cy="2125702"/>
        </a:xfrm>
      </xdr:grpSpPr>
      <xdr:sp macro="" textlink="">
        <xdr:nvSpPr>
          <xdr:cNvPr id="212" name="Passo"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2089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As constantes são valores que introduz em células ou fórmulas. Apesar de =10+20 efetuar um cálculo igual a =A1+B1, as constantes não são recomendadas. Porquê? Porque não consegue ver a constante facilmente sem selecionar a célula e procurá-la. Assim, poderá ser difícil alterá-la posteriormente. É muito mais fácil colocar as suas constantes em células, onde podem ser facilmente ajustadas e referenciadas nas fórmulas.</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pt-pt" sz="1100" b="0" i="0" kern="1200" baseline="0">
                <a:solidFill>
                  <a:schemeClr val="dk1"/>
                </a:solidFill>
                <a:effectLst/>
                <a:latin typeface="+mn-lt"/>
                <a:ea typeface="+mn-ea"/>
                <a:cs typeface="+mn-cs"/>
              </a:rPr>
              <a:t>Por exemplo: selecione a célula amarela com o número </a:t>
            </a:r>
            <a:r>
              <a:rPr lang="pt-pt" sz="1100" b="1" i="0" kern="1200" baseline="0">
                <a:solidFill>
                  <a:schemeClr val="dk1"/>
                </a:solidFill>
                <a:effectLst/>
                <a:latin typeface="+mn-lt"/>
                <a:ea typeface="+mn-ea"/>
                <a:cs typeface="+mn-cs"/>
              </a:rPr>
              <a:t>12</a:t>
            </a:r>
            <a:r>
              <a:rPr lang="pt-pt" sz="1100" b="0" i="0" kern="1200" baseline="0">
                <a:solidFill>
                  <a:schemeClr val="dk1"/>
                </a:solidFill>
                <a:effectLst/>
                <a:latin typeface="+mn-lt"/>
                <a:ea typeface="+mn-ea"/>
                <a:cs typeface="+mn-cs"/>
              </a:rPr>
              <a:t> abaixo. Verá que utilizámos a função </a:t>
            </a:r>
            <a:r>
              <a:rPr lang="pt-pt" sz="1100" b="1" i="0" kern="1200" baseline="0">
                <a:solidFill>
                  <a:schemeClr val="dk1"/>
                </a:solidFill>
                <a:effectLst/>
                <a:latin typeface="+mn-lt"/>
                <a:ea typeface="+mn-ea"/>
                <a:cs typeface="+mn-cs"/>
              </a:rPr>
              <a:t>SOMA</a:t>
            </a:r>
            <a:r>
              <a:rPr lang="pt-pt" sz="1100" b="0" i="0" kern="1200" baseline="0">
                <a:solidFill>
                  <a:schemeClr val="dk1"/>
                </a:solidFill>
                <a:effectLst/>
                <a:latin typeface="+mn-lt"/>
                <a:ea typeface="+mn-ea"/>
                <a:cs typeface="+mn-cs"/>
              </a:rPr>
              <a:t> com um intervalo de células. Não escrevemos "4" ou "8" diretamente na fórmula. </a:t>
            </a:r>
          </a:p>
        </xdr:txBody>
      </xdr:sp>
      <xdr:pic>
        <xdr:nvPicPr>
          <xdr:cNvPr id="213" name="Gráfico 147" descr="Óculo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053810" y="15226304"/>
            <a:ext cx="323347" cy="349115"/>
          </a:xfrm>
          <a:prstGeom prst="rect">
            <a:avLst/>
          </a:prstGeom>
        </xdr:spPr>
      </xdr:pic>
    </xdr:grpSp>
    <xdr:clientData/>
  </xdr:twoCellAnchor>
  <xdr:twoCellAnchor editAs="oneCell">
    <xdr:from>
      <xdr:col>1</xdr:col>
      <xdr:colOff>5400675</xdr:colOff>
      <xdr:row>47</xdr:row>
      <xdr:rowOff>81768</xdr:rowOff>
    </xdr:from>
    <xdr:to>
      <xdr:col>11</xdr:col>
      <xdr:colOff>282929</xdr:colOff>
      <xdr:row>59</xdr:row>
      <xdr:rowOff>58625</xdr:rowOff>
    </xdr:to>
    <xdr:pic>
      <xdr:nvPicPr>
        <xdr:cNvPr id="5" name="Imagem 4" descr="Ao utilizar funções no Excel, deve começar pelo nome da função, como =SOMA, seguido do parêntese esquerdo. Em seguida, deve adicionar os intervalos ou argumentos de função. Pode separar múltiplos argumentos ou intervalos por ponto e vírgula. Neste exemplo, utilizamos a função SOMA para somar dois intervalos: =SOMA(A1:A10;C1:C10).">
          <a:extLst>
            <a:ext uri="{FF2B5EF4-FFF2-40B4-BE49-F238E27FC236}">
              <a16:creationId xmlns:a16="http://schemas.microsoft.com/office/drawing/2014/main" id="{9CE19FB0-7F40-4845-93C2-4653431C867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xdr:blipFill>
      <xdr:spPr>
        <a:xfrm>
          <a:off x="6248400" y="10054443"/>
          <a:ext cx="7323809" cy="22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342900</xdr:colOff>
      <xdr:row>66</xdr:row>
      <xdr:rowOff>62865</xdr:rowOff>
    </xdr:from>
    <xdr:to>
      <xdr:col>1</xdr:col>
      <xdr:colOff>5232273</xdr:colOff>
      <xdr:row>84</xdr:row>
      <xdr:rowOff>133350</xdr:rowOff>
    </xdr:to>
    <xdr:grpSp>
      <xdr:nvGrpSpPr>
        <xdr:cNvPr id="180" name="Mais Informações na Web" descr="More information on the web, contains links to the web&#10;Back to top&#10;Next step">
          <a:hlinkClick xmlns:r="http://schemas.openxmlformats.org/officeDocument/2006/relationships" r:id="rId1" tooltip="Clique aqui para avançar para a folha de cálculo seguinte"/>
          <a:extLst>
            <a:ext uri="{FF2B5EF4-FFF2-40B4-BE49-F238E27FC236}">
              <a16:creationId xmlns:a16="http://schemas.microsoft.com/office/drawing/2014/main" id="{ABD21ECB-A0A3-4E0D-861E-B3FBCE376575}"/>
            </a:ext>
          </a:extLst>
        </xdr:cNvPr>
        <xdr:cNvGrpSpPr/>
      </xdr:nvGrpSpPr>
      <xdr:grpSpPr>
        <a:xfrm>
          <a:off x="342900" y="13203555"/>
          <a:ext cx="5759958" cy="3499485"/>
          <a:chOff x="323850" y="16837043"/>
          <a:chExt cx="5737224" cy="3349188"/>
        </a:xfrm>
      </xdr:grpSpPr>
      <xdr:sp macro="" textlink="">
        <xdr:nvSpPr>
          <xdr:cNvPr id="181" name="Retângulo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2" name="Passo" descr="Mais informações na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Conexão Reta 182" descr="Linha decorativa">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Botão Seguinte" descr="Voltar ao início, com hiperligação para a célula A1">
            <a:hlinkClick xmlns:r="http://schemas.openxmlformats.org/officeDocument/2006/relationships" r:id="rId1" tooltip="Selecione para voltar à célula A1 nesta folha de cálculo"/>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85" name="Conexão Reta 184" descr="Linha decorativa">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Botão Seguinte" descr="Botão Passo seguinte, com hiperligação para a folha de cálculo seguinte">
            <a:hlinkClick xmlns:r="http://schemas.openxmlformats.org/officeDocument/2006/relationships" r:id="rId2" tooltip="Clique aqui para avançar para a folha de cálculo seguinte"/>
            <a:extLst>
              <a:ext uri="{FF2B5EF4-FFF2-40B4-BE49-F238E27FC236}">
                <a16:creationId xmlns:a16="http://schemas.microsoft.com/office/drawing/2014/main" id="{4F102BCA-DDCB-4390-A653-445B336B333A}"/>
              </a:ext>
            </a:extLst>
          </xdr:cNvPr>
          <xdr:cNvSpPr/>
        </xdr:nvSpPr>
        <xdr:spPr>
          <a:xfrm>
            <a:off x="4441475" y="19669174"/>
            <a:ext cx="1371950" cy="342142"/>
          </a:xfrm>
          <a:prstGeom prst="rightArrowCallout">
            <a:avLst>
              <a:gd name="adj1" fmla="val 32829"/>
              <a:gd name="adj2" fmla="val 31524"/>
              <a:gd name="adj3" fmla="val 25000"/>
              <a:gd name="adj4" fmla="val 87052"/>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87" name="Passo" descr="Tudo sobre a função SOMA, com hiperligação para a Web&#10;&#10;">
            <a:hlinkClick xmlns:r="http://schemas.openxmlformats.org/officeDocument/2006/relationships" r:id="rId3" tooltip="Selecione para aceder à Web e saber tudo sobre a função SOMA"/>
            <a:extLst>
              <a:ext uri="{FF2B5EF4-FFF2-40B4-BE49-F238E27FC236}">
                <a16:creationId xmlns:a16="http://schemas.microsoft.com/office/drawing/2014/main" id="{AB2D976E-4F84-41AE-9EC8-DB5589E60A01}"/>
              </a:ext>
            </a:extLst>
          </xdr:cNvPr>
          <xdr:cNvSpPr txBox="1"/>
        </xdr:nvSpPr>
        <xdr:spPr>
          <a:xfrm>
            <a:off x="1003908" y="17606489"/>
            <a:ext cx="2951459"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a:t>
            </a:r>
          </a:p>
        </xdr:txBody>
      </xdr:sp>
      <xdr:pic>
        <xdr:nvPicPr>
          <xdr:cNvPr id="188" name="Gráfico 22" descr="Seta">
            <a:hlinkClick xmlns:r="http://schemas.openxmlformats.org/officeDocument/2006/relationships" r:id="rId3" tooltip="Selecione para obter mais informações na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Passo" descr="Tudo sobre como utilizar a funcionalidade Soma Automática para somar números, com hiperligação para a Web&#10;">
            <a:hlinkClick xmlns:r="http://schemas.openxmlformats.org/officeDocument/2006/relationships" r:id="rId6" tooltip="Selecione para aceder à Web e saber tudo sobre como utilizar a soma automática para somar números"/>
            <a:extLst>
              <a:ext uri="{FF2B5EF4-FFF2-40B4-BE49-F238E27FC236}">
                <a16:creationId xmlns:a16="http://schemas.microsoft.com/office/drawing/2014/main" id="{E8AF0476-BB01-4EAA-81FC-EFE0808FE13E}"/>
              </a:ext>
            </a:extLst>
          </xdr:cNvPr>
          <xdr:cNvSpPr txBox="1"/>
        </xdr:nvSpPr>
        <xdr:spPr>
          <a:xfrm>
            <a:off x="1003908" y="18058397"/>
            <a:ext cx="4524163"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Utilizar a funcionalidade Soma Automática</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somar números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Passo" descr="Saiba tudo sobre a função CONTAR, com hiperligação para a Web&#10;">
            <a:hlinkClick xmlns:r="http://schemas.openxmlformats.org/officeDocument/2006/relationships" r:id="rId7" tooltip="Selecione para aceder à Web e saber tudo sobre a função CONTAR"/>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CONTAR</a:t>
            </a:r>
          </a:p>
        </xdr:txBody>
      </xdr:sp>
      <xdr:pic>
        <xdr:nvPicPr>
          <xdr:cNvPr id="192"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Passo" descr="Formação online gratuita do Excel, com hiperligação para a Web&#10;">
            <a:hlinkClick xmlns:r="http://schemas.openxmlformats.org/officeDocument/2006/relationships" r:id="rId8" tooltip="Selecione para aceder à Web e saber tudo sobre a formação online gratuita do Excel"/>
            <a:extLst>
              <a:ext uri="{FF2B5EF4-FFF2-40B4-BE49-F238E27FC236}">
                <a16:creationId xmlns:a16="http://schemas.microsoft.com/office/drawing/2014/main" id="{62BCA8C0-A9F1-4706-AAE7-F42F5ABFF970}"/>
              </a:ext>
            </a:extLst>
          </xdr:cNvPr>
          <xdr:cNvSpPr txBox="1"/>
        </xdr:nvSpPr>
        <xdr:spPr>
          <a:xfrm>
            <a:off x="1016608" y="18952686"/>
            <a:ext cx="3396272"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94"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6344</xdr:rowOff>
    </xdr:from>
    <xdr:to>
      <xdr:col>6</xdr:col>
      <xdr:colOff>647699</xdr:colOff>
      <xdr:row>61</xdr:row>
      <xdr:rowOff>57146</xdr:rowOff>
    </xdr:to>
    <xdr:grpSp>
      <xdr:nvGrpSpPr>
        <xdr:cNvPr id="195" name="DETALHE IMPORTANTE"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629400" y="10295249"/>
          <a:ext cx="3657599" cy="1957707"/>
          <a:chOff x="6788150" y="10960177"/>
          <a:chExt cx="3714749" cy="1889001"/>
        </a:xfrm>
      </xdr:grpSpPr>
      <xdr:sp macro="" textlink="">
        <xdr:nvSpPr>
          <xdr:cNvPr id="196" name="Instrução"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2"/>
            <a:ext cx="3429000" cy="1485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Faça duplo clique nesta célula. Verá o número </a:t>
            </a:r>
            <a:r>
              <a:rPr lang="pt-pt" sz="1100" b="0" i="1" kern="1200" baseline="0">
                <a:solidFill>
                  <a:schemeClr val="dk1"/>
                </a:solidFill>
                <a:effectLst/>
                <a:latin typeface="+mn-lt"/>
                <a:ea typeface="+mn-ea"/>
                <a:cs typeface="+mn-cs"/>
              </a:rPr>
              <a:t>100</a:t>
            </a:r>
            <a:r>
              <a:rPr lang="pt-pt" sz="1100" b="0" i="0" kern="1200" baseline="0">
                <a:solidFill>
                  <a:schemeClr val="dk1"/>
                </a:solidFill>
                <a:effectLst/>
                <a:latin typeface="+mn-lt"/>
                <a:ea typeface="+mn-ea"/>
                <a:cs typeface="+mn-cs"/>
              </a:rPr>
              <a:t> no fim. Embora seja possível colocar números numa fórmula como esta, não o recomendamos a menos que seja necessário. Isto é conhecido por </a:t>
            </a:r>
            <a:r>
              <a:rPr lang="pt-pt" sz="1100" b="1" i="0" kern="1200" baseline="0">
                <a:solidFill>
                  <a:schemeClr val="dk1"/>
                </a:solidFill>
                <a:effectLst/>
                <a:latin typeface="+mn-lt"/>
                <a:ea typeface="+mn-ea"/>
                <a:cs typeface="+mn-cs"/>
              </a:rPr>
              <a:t>constante</a:t>
            </a:r>
            <a:r>
              <a:rPr lang="pt-pt" sz="1100" b="0" i="0" kern="1200" baseline="0">
                <a:solidFill>
                  <a:schemeClr val="dk1"/>
                </a:solidFill>
                <a:effectLst/>
                <a:latin typeface="+mn-lt"/>
                <a:ea typeface="+mn-ea"/>
                <a:cs typeface="+mn-cs"/>
              </a:rPr>
              <a:t> e é fácil esquecer-se de que está lá. Recomendamos que faça antes referência a outra célula, como a célula F51. Dessa forma, é vista facilmente e não fica oculta dentro de uma fórmula. </a:t>
            </a:r>
            <a:endParaRPr lang="en-US" sz="1100">
              <a:effectLst/>
            </a:endParaRPr>
          </a:p>
        </xdr:txBody>
      </xdr:sp>
      <xdr:pic>
        <xdr:nvPicPr>
          <xdr:cNvPr id="197" name="Lupa" descr="Lupa">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Seta" descr="Seta">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4</xdr:col>
      <xdr:colOff>7420</xdr:colOff>
      <xdr:row>33</xdr:row>
      <xdr:rowOff>120650</xdr:rowOff>
    </xdr:from>
    <xdr:to>
      <xdr:col>8</xdr:col>
      <xdr:colOff>523874</xdr:colOff>
      <xdr:row>42</xdr:row>
      <xdr:rowOff>114300</xdr:rowOff>
    </xdr:to>
    <xdr:grpSp>
      <xdr:nvGrpSpPr>
        <xdr:cNvPr id="2" name="Grupo 1">
          <a:extLst>
            <a:ext uri="{FF2B5EF4-FFF2-40B4-BE49-F238E27FC236}">
              <a16:creationId xmlns:a16="http://schemas.microsoft.com/office/drawing/2014/main" id="{C31E7FA9-873B-48E5-80FF-FEEB66A44E83}"/>
            </a:ext>
          </a:extLst>
        </xdr:cNvPr>
        <xdr:cNvGrpSpPr/>
      </xdr:nvGrpSpPr>
      <xdr:grpSpPr>
        <a:xfrm>
          <a:off x="8391325" y="6980555"/>
          <a:ext cx="3293944" cy="1706245"/>
          <a:chOff x="8151295" y="6978650"/>
          <a:chExt cx="3212029" cy="1708150"/>
        </a:xfrm>
      </xdr:grpSpPr>
      <xdr:pic>
        <xdr:nvPicPr>
          <xdr:cNvPr id="200" name="Gráfico de barra de estado" descr="Total do gráfico de barra de estado: 170">
            <a:extLst>
              <a:ext uri="{FF2B5EF4-FFF2-40B4-BE49-F238E27FC236}">
                <a16:creationId xmlns:a16="http://schemas.microsoft.com/office/drawing/2014/main" id="{26CBE60B-8C6B-4B6C-A49E-B12121A259C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8864681" y="7785200"/>
            <a:ext cx="1095238" cy="200000"/>
          </a:xfrm>
          <a:prstGeom prst="rect">
            <a:avLst/>
          </a:prstGeom>
        </xdr:spPr>
      </xdr:pic>
      <xdr:grpSp>
        <xdr:nvGrpSpPr>
          <xdr:cNvPr id="201" name="INTERESSANTE"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708150"/>
            <a:chOff x="7539454" y="7993902"/>
            <a:chExt cx="3051070" cy="1708150"/>
          </a:xfrm>
        </xdr:grpSpPr>
        <xdr:grpSp>
          <xdr:nvGrpSpPr>
            <xdr:cNvPr id="202" name="Linhas de chaveta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Outra linha de chavetas" descr="Linha de chavetas">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206" name="Linha de chavetas" descr="Linha de chavetas&#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203" name="Estrelas" descr="Estrela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çõe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70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Selecione estas células. Em seguida, no canto inferior direito da</a:t>
              </a:r>
              <a:r>
                <a:rPr lang="pt-pt" sz="1100" kern="0" baseline="0">
                  <a:solidFill>
                    <a:schemeClr val="bg2">
                      <a:lumMod val="25000"/>
                    </a:schemeClr>
                  </a:solidFill>
                  <a:latin typeface="+mn-lt"/>
                  <a:ea typeface="Segoe UI" pitchFamily="34" charset="0"/>
                  <a:cs typeface="Segoe UI Light" panose="020B0502040204020203" pitchFamily="34" charset="0"/>
                </a:rPr>
                <a:t> janela do Excel, procure isto:</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pt" sz="1100" kern="0" baseline="0">
                  <a:solidFill>
                    <a:schemeClr val="bg2">
                      <a:lumMod val="25000"/>
                    </a:schemeClr>
                  </a:solidFill>
                  <a:latin typeface="+mn-lt"/>
                  <a:ea typeface="Segoe UI" pitchFamily="34" charset="0"/>
                  <a:cs typeface="Segoe UI Light" panose="020B0502040204020203" pitchFamily="34" charset="0"/>
                </a:rPr>
                <a:t>É denominada Barra de Estado e é mais uma forma rápida de ver um total e outros detalhes sobre um intervalo ou célula selecionado.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405765</xdr:colOff>
      <xdr:row>22</xdr:row>
      <xdr:rowOff>91440</xdr:rowOff>
    </xdr:to>
    <xdr:grpSp>
      <xdr:nvGrpSpPr>
        <xdr:cNvPr id="207" name="Grupo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218294" y="3455671"/>
          <a:ext cx="2956561" cy="1402079"/>
          <a:chOff x="9048750" y="3743325"/>
          <a:chExt cx="2999147" cy="1390649"/>
        </a:xfrm>
      </xdr:grpSpPr>
      <xdr:sp macro="" textlink="">
        <xdr:nvSpPr>
          <xdr:cNvPr id="208" name="Passo"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399255"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panose="020B0502040204020203" pitchFamily="34" charset="0"/>
              </a:rPr>
              <a:t>PONTOS EXTRA</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Experimente a função </a:t>
            </a:r>
            <a:r>
              <a:rPr lang="pt-pt" sz="1100" b="1" i="0" kern="1200" baseline="0">
                <a:solidFill>
                  <a:schemeClr val="dk1"/>
                </a:solidFill>
                <a:effectLst/>
                <a:latin typeface="+mn-lt"/>
                <a:ea typeface="+mn-ea"/>
                <a:cs typeface="+mn-cs"/>
              </a:rPr>
              <a:t>CONTAR</a:t>
            </a:r>
            <a:r>
              <a:rPr lang="pt-pt" sz="1100" b="0" i="0" kern="1200" baseline="0">
                <a:solidFill>
                  <a:schemeClr val="dk1"/>
                </a:solidFill>
                <a:effectLst/>
                <a:latin typeface="+mn-lt"/>
                <a:ea typeface="+mn-ea"/>
                <a:cs typeface="+mn-cs"/>
              </a:rPr>
              <a:t> através de qualquer método que já experimentou. A função </a:t>
            </a:r>
            <a:r>
              <a:rPr lang="pt-pt" sz="1100" b="1" i="0" kern="1200" baseline="0">
                <a:solidFill>
                  <a:schemeClr val="dk1"/>
                </a:solidFill>
                <a:effectLst/>
                <a:latin typeface="+mn-lt"/>
                <a:ea typeface="+mn-ea"/>
                <a:cs typeface="+mn-cs"/>
              </a:rPr>
              <a:t>CONTAR</a:t>
            </a:r>
            <a:r>
              <a:rPr lang="pt-pt" sz="1100" b="0" i="0" kern="1200" baseline="0">
                <a:solidFill>
                  <a:schemeClr val="dk1"/>
                </a:solidFill>
                <a:effectLst/>
                <a:latin typeface="+mn-lt"/>
                <a:ea typeface="+mn-ea"/>
                <a:cs typeface="+mn-cs"/>
              </a:rPr>
              <a:t> conta o número de células num intervalo que contêm números.</a:t>
            </a:r>
          </a:p>
        </xdr:txBody>
      </xdr:sp>
      <xdr:pic>
        <xdr:nvPicPr>
          <xdr:cNvPr id="209" name="Fita de pontos extra" descr="Fita decorativa">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Seta de Pontos Extra" descr="Seta">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355809</xdr:colOff>
      <xdr:row>24</xdr:row>
      <xdr:rowOff>142880</xdr:rowOff>
    </xdr:from>
    <xdr:to>
      <xdr:col>1</xdr:col>
      <xdr:colOff>5241372</xdr:colOff>
      <xdr:row>65</xdr:row>
      <xdr:rowOff>180975</xdr:rowOff>
    </xdr:to>
    <xdr:grpSp>
      <xdr:nvGrpSpPr>
        <xdr:cNvPr id="4" name="Grupo 3">
          <a:extLst>
            <a:ext uri="{FF2B5EF4-FFF2-40B4-BE49-F238E27FC236}">
              <a16:creationId xmlns:a16="http://schemas.microsoft.com/office/drawing/2014/main" id="{F60B4319-44A9-469F-A62C-1D9E3BD387BB}"/>
            </a:ext>
          </a:extLst>
        </xdr:cNvPr>
        <xdr:cNvGrpSpPr/>
      </xdr:nvGrpSpPr>
      <xdr:grpSpPr>
        <a:xfrm>
          <a:off x="359619" y="5284475"/>
          <a:ext cx="5744718" cy="7848595"/>
          <a:chOff x="355809" y="4791079"/>
          <a:chExt cx="5733288" cy="7848596"/>
        </a:xfrm>
      </xdr:grpSpPr>
      <xdr:sp macro="" textlink="">
        <xdr:nvSpPr>
          <xdr:cNvPr id="227" name="Retângulo 226" descr="Fundo">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28" name="Conexão Reta 227" descr="Linha decorativa">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Conexão Reta 228" descr="Linha decorativa">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Passo" descr="Mais informações sobre funçõe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sobre funções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Passo"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255562" cy="280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Aceda </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ao separador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Fórmulas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procure na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Biblioteca de Funções</a:t>
            </a:r>
            <a:r>
              <a:rPr lang="pt-pt"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pt-pt" sz="1100" b="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onde as funções são apresentadas por categoria, como </a:t>
            </a:r>
            <a:r>
              <a:rPr lang="pt-pt" sz="1100" b="1"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Texto, Data e Hora</a:t>
            </a:r>
            <a:r>
              <a:rPr lang="pt-pt" sz="110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etc</a:t>
            </a:r>
            <a:r>
              <a:rPr lang="pt-pt" sz="1100" b="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a:t>
            </a:r>
            <a:r>
              <a:rPr lang="pt-pt"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opção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Inserir Função </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permite-lhe procurar funções pelo nome e iniciar um assistente de funções que o ajuda a criar a sua fórmula. </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começa a escrever o nome de uma função após premir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pt-pt"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inicia o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 apresenta uma lista de funções que começam pelas mesmas letras que escreveu. Quando encontrar a que pretende, prima a Tecla de Tabulação e o Excel irá preencher o nome da função e introduzir o parêntese esquerdo automaticamente. Também irá apresentar os argumentos opcionais e obrigatórios. </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b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Vamos analisar a estrutura de algumas funções. A função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tem a seguinte estrutura:</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1211989</xdr:colOff>
      <xdr:row>39</xdr:row>
      <xdr:rowOff>66676</xdr:rowOff>
    </xdr:from>
    <xdr:to>
      <xdr:col>1</xdr:col>
      <xdr:colOff>2907227</xdr:colOff>
      <xdr:row>42</xdr:row>
      <xdr:rowOff>85652</xdr:rowOff>
    </xdr:to>
    <xdr:pic>
      <xdr:nvPicPr>
        <xdr:cNvPr id="213" name="Imagem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a:xfrm>
          <a:off x="2059714" y="8067676"/>
          <a:ext cx="1695238" cy="590476"/>
        </a:xfrm>
        <a:prstGeom prst="rect">
          <a:avLst/>
        </a:prstGeom>
      </xdr:spPr>
    </xdr:pic>
    <xdr:clientData/>
  </xdr:twoCellAnchor>
  <xdr:twoCellAnchor>
    <xdr:from>
      <xdr:col>1</xdr:col>
      <xdr:colOff>595997</xdr:colOff>
      <xdr:row>44</xdr:row>
      <xdr:rowOff>95251</xdr:rowOff>
    </xdr:from>
    <xdr:to>
      <xdr:col>1</xdr:col>
      <xdr:colOff>4057650</xdr:colOff>
      <xdr:row>54</xdr:row>
      <xdr:rowOff>35923</xdr:rowOff>
    </xdr:to>
    <xdr:grpSp>
      <xdr:nvGrpSpPr>
        <xdr:cNvPr id="214" name="Grupo 213">
          <a:extLst>
            <a:ext uri="{FF2B5EF4-FFF2-40B4-BE49-F238E27FC236}">
              <a16:creationId xmlns:a16="http://schemas.microsoft.com/office/drawing/2014/main" id="{FB827C73-8C3F-460A-9D51-BF988EA48D11}"/>
            </a:ext>
          </a:extLst>
        </xdr:cNvPr>
        <xdr:cNvGrpSpPr/>
      </xdr:nvGrpSpPr>
      <xdr:grpSpPr>
        <a:xfrm>
          <a:off x="1458962" y="9044941"/>
          <a:ext cx="3461653" cy="1849482"/>
          <a:chOff x="4357427" y="4314825"/>
          <a:chExt cx="3439109" cy="1845672"/>
        </a:xfrm>
      </xdr:grpSpPr>
      <xdr:sp macro="" textlink="">
        <xdr:nvSpPr>
          <xdr:cNvPr id="219" name="txt_Fórmula" descr="=SOMA(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=SOMA(D35:D38;H:H)</a:t>
            </a:r>
            <a:endParaRPr lang="en-US" sz="2000">
              <a:effectLst/>
              <a:latin typeface="Courier New" panose="02070309020205020404" pitchFamily="49" charset="0"/>
              <a:ea typeface="Times New Roman" panose="02020603050405020304" pitchFamily="18" charset="0"/>
            </a:endParaRPr>
          </a:p>
        </xdr:txBody>
      </xdr:sp>
      <xdr:grpSp>
        <xdr:nvGrpSpPr>
          <xdr:cNvPr id="220" name="Grupo 219">
            <a:extLst>
              <a:ext uri="{FF2B5EF4-FFF2-40B4-BE49-F238E27FC236}">
                <a16:creationId xmlns:a16="http://schemas.microsoft.com/office/drawing/2014/main" id="{EA425C25-3538-467E-9C7D-913A4CCFBE52}"/>
              </a:ext>
            </a:extLst>
          </xdr:cNvPr>
          <xdr:cNvGrpSpPr/>
        </xdr:nvGrpSpPr>
        <xdr:grpSpPr>
          <a:xfrm>
            <a:off x="4357427" y="4314825"/>
            <a:ext cx="3439109" cy="1394628"/>
            <a:chOff x="4357427" y="4314825"/>
            <a:chExt cx="3439109" cy="1394628"/>
          </a:xfrm>
        </xdr:grpSpPr>
        <xdr:sp macro="" textlink="">
          <xdr:nvSpPr>
            <xdr:cNvPr id="221" name="ChavetaDaFórmulaSuperior">
              <a:extLst>
                <a:ext uri="{FF2B5EF4-FFF2-40B4-BE49-F238E27FC236}">
                  <a16:creationId xmlns:a16="http://schemas.microsoft.com/office/drawing/2014/main" id="{70C6032A-6C2C-406B-8451-B3D14C49A6BC}"/>
                </a:ext>
              </a:extLst>
            </xdr:cNvPr>
            <xdr:cNvSpPr/>
          </xdr:nvSpPr>
          <xdr:spPr>
            <a:xfrm rot="5400000">
              <a:off x="6493179" y="5216927"/>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2" name="ChavetaDaFórmulaSuperior">
              <a:extLst>
                <a:ext uri="{FF2B5EF4-FFF2-40B4-BE49-F238E27FC236}">
                  <a16:creationId xmlns:a16="http://schemas.microsoft.com/office/drawing/2014/main" id="{56068F5B-8EA0-44DA-8571-8698F744FFA6}"/>
                </a:ext>
              </a:extLst>
            </xdr:cNvPr>
            <xdr:cNvSpPr/>
          </xdr:nvSpPr>
          <xdr:spPr>
            <a:xfrm rot="5400000">
              <a:off x="5569133" y="4921653"/>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3" name="ChavetaDaFórmulaSuperior">
              <a:extLst>
                <a:ext uri="{FF2B5EF4-FFF2-40B4-BE49-F238E27FC236}">
                  <a16:creationId xmlns:a16="http://schemas.microsoft.com/office/drawing/2014/main" id="{B06AACB5-79F8-4B5A-828E-3C81B8A6126C}"/>
                </a:ext>
              </a:extLst>
            </xdr:cNvPr>
            <xdr:cNvSpPr/>
          </xdr:nvSpPr>
          <xdr:spPr>
            <a:xfrm rot="5400000">
              <a:off x="4602152" y="5136189"/>
              <a:ext cx="499277" cy="60915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4" name="txt_BalãoDaFórmulaSuperior" descr="O nome da função&#10;">
              <a:extLst>
                <a:ext uri="{FF2B5EF4-FFF2-40B4-BE49-F238E27FC236}">
                  <a16:creationId xmlns:a16="http://schemas.microsoft.com/office/drawing/2014/main" id="{A51B4DC7-A90C-4214-A9E2-B085B4A03BC0}"/>
                </a:ext>
              </a:extLst>
            </xdr:cNvPr>
            <xdr:cNvSpPr txBox="1">
              <a:spLocks noChangeArrowheads="1"/>
            </xdr:cNvSpPr>
          </xdr:nvSpPr>
          <xdr:spPr bwMode="auto">
            <a:xfrm>
              <a:off x="4357427" y="4314825"/>
              <a:ext cx="959811"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 nome da função.</a:t>
              </a:r>
            </a:p>
          </xdr:txBody>
        </xdr:sp>
        <xdr:sp macro="" textlink="">
          <xdr:nvSpPr>
            <xdr:cNvPr id="225" name="txt_BalãoDaFórmulaSuperior" descr="O primeiro argumento, que é quase sempre obrigatório.&#10;&#10;">
              <a:extLst>
                <a:ext uri="{FF2B5EF4-FFF2-40B4-BE49-F238E27FC236}">
                  <a16:creationId xmlns:a16="http://schemas.microsoft.com/office/drawing/2014/main" id="{1AA6C65B-1638-43C3-9BBA-D39DAF05E74C}"/>
                </a:ext>
              </a:extLst>
            </xdr:cNvPr>
            <xdr:cNvSpPr txBox="1">
              <a:spLocks noChangeArrowheads="1"/>
            </xdr:cNvSpPr>
          </xdr:nvSpPr>
          <xdr:spPr bwMode="auto">
            <a:xfrm>
              <a:off x="5421332" y="4324350"/>
              <a:ext cx="102390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 primeiro argumento. É quase sempre obrigatório.</a:t>
              </a:r>
            </a:p>
          </xdr:txBody>
        </xdr:sp>
        <xdr:sp macro="" textlink="">
          <xdr:nvSpPr>
            <xdr:cNvPr id="226" name="txt_BalãoDaFórmulaSuperior" descr="Argumentos adicionais, separados por ponto e vírgula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1238585"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Argumentos adicionais, separados por ponto e vírgula (;).</a:t>
              </a:r>
            </a:p>
          </xdr:txBody>
        </xdr:sp>
      </xdr:grpSp>
    </xdr:grpSp>
    <xdr:clientData/>
  </xdr:twoCellAnchor>
  <xdr:twoCellAnchor>
    <xdr:from>
      <xdr:col>0</xdr:col>
      <xdr:colOff>547558</xdr:colOff>
      <xdr:row>53</xdr:row>
      <xdr:rowOff>9526</xdr:rowOff>
    </xdr:from>
    <xdr:to>
      <xdr:col>1</xdr:col>
      <xdr:colOff>5048250</xdr:colOff>
      <xdr:row>57</xdr:row>
      <xdr:rowOff>95250</xdr:rowOff>
    </xdr:to>
    <xdr:sp macro="" textlink="">
      <xdr:nvSpPr>
        <xdr:cNvPr id="215" name="txt_Passo" descr="Se a função SOMA pudesse falar, diria: devolver a soma de todos os valores nas células D38 a D41 e de toda a coluna H. Agora, vamos experimentar uma função que não necessite de argumentos.&#10;">
          <a:extLst>
            <a:ext uri="{FF2B5EF4-FFF2-40B4-BE49-F238E27FC236}">
              <a16:creationId xmlns:a16="http://schemas.microsoft.com/office/drawing/2014/main" id="{22A1C554-76ED-4E49-A496-849BD442214B}"/>
            </a:ext>
          </a:extLst>
        </xdr:cNvPr>
        <xdr:cNvSpPr txBox="1"/>
      </xdr:nvSpPr>
      <xdr:spPr>
        <a:xfrm>
          <a:off x="547558" y="10677526"/>
          <a:ext cx="5348417" cy="84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pudesse falar, diria: “devolver a soma de todos os valores nas células D35 a D38 e de toda a coluna H.”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 vamos experimentar uma função que não necessite de argumentos.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364952</xdr:colOff>
      <xdr:row>58</xdr:row>
      <xdr:rowOff>1</xdr:rowOff>
    </xdr:from>
    <xdr:to>
      <xdr:col>1</xdr:col>
      <xdr:colOff>4019549</xdr:colOff>
      <xdr:row>65</xdr:row>
      <xdr:rowOff>54973</xdr:rowOff>
    </xdr:to>
    <xdr:grpSp>
      <xdr:nvGrpSpPr>
        <xdr:cNvPr id="3" name="Grupo 2">
          <a:extLst>
            <a:ext uri="{FF2B5EF4-FFF2-40B4-BE49-F238E27FC236}">
              <a16:creationId xmlns:a16="http://schemas.microsoft.com/office/drawing/2014/main" id="{A1A853C7-B6EC-45D3-A4D6-9D928865ED9B}"/>
            </a:ext>
          </a:extLst>
        </xdr:cNvPr>
        <xdr:cNvGrpSpPr/>
      </xdr:nvGrpSpPr>
      <xdr:grpSpPr>
        <a:xfrm>
          <a:off x="1227917" y="11620501"/>
          <a:ext cx="3662217" cy="1392282"/>
          <a:chOff x="1488902" y="11125201"/>
          <a:chExt cx="3654597" cy="1388472"/>
        </a:xfrm>
      </xdr:grpSpPr>
      <xdr:sp macro="" textlink="">
        <xdr:nvSpPr>
          <xdr:cNvPr id="216" name="ChavetaDaFórmulaSuperior">
            <a:extLst>
              <a:ext uri="{FF2B5EF4-FFF2-40B4-BE49-F238E27FC236}">
                <a16:creationId xmlns:a16="http://schemas.microsoft.com/office/drawing/2014/main" id="{47A65F16-B2A6-46A3-B669-E6D2D5A6ECEB}"/>
              </a:ext>
            </a:extLst>
          </xdr:cNvPr>
          <xdr:cNvSpPr/>
        </xdr:nvSpPr>
        <xdr:spPr>
          <a:xfrm rot="5400000">
            <a:off x="2981485" y="11329367"/>
            <a:ext cx="499277" cy="91010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7" name="txt_Fórmula" descr="=HOJE()">
            <a:extLst>
              <a:ext uri="{FF2B5EF4-FFF2-40B4-BE49-F238E27FC236}">
                <a16:creationId xmlns:a16="http://schemas.microsoft.com/office/drawing/2014/main" id="{22DC5E2D-9AE9-4EFE-B800-9356D8B70BA7}"/>
              </a:ext>
            </a:extLst>
          </xdr:cNvPr>
          <xdr:cNvSpPr txBox="1"/>
        </xdr:nvSpPr>
        <xdr:spPr>
          <a:xfrm>
            <a:off x="2646175"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=HOJE()</a:t>
            </a:r>
            <a:endParaRPr lang="en-US" sz="2000">
              <a:effectLst/>
              <a:latin typeface="Courier New" panose="02070309020205020404" pitchFamily="49" charset="0"/>
              <a:ea typeface="Times New Roman" panose="02020603050405020304" pitchFamily="18" charset="0"/>
            </a:endParaRPr>
          </a:p>
        </xdr:txBody>
      </xdr:sp>
      <xdr:sp macro="" textlink="">
        <xdr:nvSpPr>
          <xdr:cNvPr id="218" name="txt_BalãoDaFórmulaSuperior" descr="A função HOJE devolve a data de hoje. O resultado é atualizado automaticamente quando o Excel volta a calcular.&#10;&#10;">
            <a:extLst>
              <a:ext uri="{FF2B5EF4-FFF2-40B4-BE49-F238E27FC236}">
                <a16:creationId xmlns:a16="http://schemas.microsoft.com/office/drawing/2014/main" id="{52549E0D-FD3F-475B-B881-0D180B27FDC0}"/>
              </a:ext>
            </a:extLst>
          </xdr:cNvPr>
          <xdr:cNvSpPr txBox="1">
            <a:spLocks noChangeArrowheads="1"/>
          </xdr:cNvSpPr>
        </xdr:nvSpPr>
        <xdr:spPr bwMode="auto">
          <a:xfrm>
            <a:off x="1488902" y="11125201"/>
            <a:ext cx="3654597"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A função </a:t>
            </a:r>
            <a:r>
              <a:rPr lang="pt-pt" sz="1100" b="1">
                <a:effectLst/>
                <a:latin typeface="Calibri" panose="020F0502020204030204" pitchFamily="34" charset="0"/>
                <a:ea typeface="Calibri" panose="020F0502020204030204" pitchFamily="34" charset="0"/>
                <a:cs typeface="Times New Roman" panose="02020603050405020304" pitchFamily="18" charset="0"/>
              </a:rPr>
              <a:t>HOJE</a:t>
            </a:r>
            <a:r>
              <a:rPr lang="pt-pt" sz="1100">
                <a:effectLst/>
                <a:latin typeface="Calibri" panose="020F0502020204030204" pitchFamily="34" charset="0"/>
                <a:ea typeface="Calibri" panose="020F0502020204030204" pitchFamily="34" charset="0"/>
                <a:cs typeface="Times New Roman" panose="02020603050405020304" pitchFamily="18" charset="0"/>
              </a:rPr>
              <a:t> devolve a data de hoje. O resultado é atualizado</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automaticamente quando o Excel volta a calcular.</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24</xdr:row>
      <xdr:rowOff>38100</xdr:rowOff>
    </xdr:to>
    <xdr:grpSp>
      <xdr:nvGrpSpPr>
        <xdr:cNvPr id="232" name="Grupo 231">
          <a:extLst>
            <a:ext uri="{FF2B5EF4-FFF2-40B4-BE49-F238E27FC236}">
              <a16:creationId xmlns:a16="http://schemas.microsoft.com/office/drawing/2014/main" id="{7A4FA281-7222-4655-A76E-27AE33A3FF1C}"/>
            </a:ext>
          </a:extLst>
        </xdr:cNvPr>
        <xdr:cNvGrpSpPr/>
      </xdr:nvGrpSpPr>
      <xdr:grpSpPr>
        <a:xfrm>
          <a:off x="342900" y="354329"/>
          <a:ext cx="5755005" cy="4827271"/>
          <a:chOff x="323850" y="276224"/>
          <a:chExt cx="5734050" cy="4643018"/>
        </a:xfrm>
      </xdr:grpSpPr>
      <xdr:sp macro="" textlink="">
        <xdr:nvSpPr>
          <xdr:cNvPr id="233" name="txt_FundoDaApresentação" descr="Fundo">
            <a:extLst>
              <a:ext uri="{FF2B5EF4-FFF2-40B4-BE49-F238E27FC236}">
                <a16:creationId xmlns:a16="http://schemas.microsoft.com/office/drawing/2014/main" id="{2E503384-DBF5-4D47-BF12-EEAC0918D4AA}"/>
              </a:ext>
            </a:extLst>
          </xdr:cNvPr>
          <xdr:cNvSpPr/>
        </xdr:nvSpPr>
        <xdr:spPr>
          <a:xfrm>
            <a:off x="323850" y="276224"/>
            <a:ext cx="5734050" cy="464301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CabeçalhoDaApresentação" descr="Introdução às funçõe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Introdução às funções</a:t>
            </a:r>
          </a:p>
        </xdr:txBody>
      </xdr:sp>
      <xdr:cxnSp macro="">
        <xdr:nvCxnSpPr>
          <xdr:cNvPr id="235" name="txt_Linha1DaApresentação" descr="Linha decorativa">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Linha2DaApresentação" descr="Linha decorativa">
            <a:extLst>
              <a:ext uri="{FF2B5EF4-FFF2-40B4-BE49-F238E27FC236}">
                <a16:creationId xmlns:a16="http://schemas.microsoft.com/office/drawing/2014/main" id="{EEEF91CB-D253-4B04-B06F-EF082C03A170}"/>
              </a:ext>
            </a:extLst>
          </xdr:cNvPr>
          <xdr:cNvCxnSpPr>
            <a:cxnSpLocks/>
          </xdr:cNvCxnSpPr>
        </xdr:nvCxnSpPr>
        <xdr:spPr>
          <a:xfrm>
            <a:off x="536578" y="416486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IntroduçãoDaApresentação" descr="Pode realizar inúmeras ações com as funções, tais como operações matemáticas, procurar valores ou até calcular datas e horas. Vamos experimentar somar valores com a função SOMA de algumas maneiras diferentes.&#10;">
            <a:extLst>
              <a:ext uri="{FF2B5EF4-FFF2-40B4-BE49-F238E27FC236}">
                <a16:creationId xmlns:a16="http://schemas.microsoft.com/office/drawing/2014/main" id="{D14E5F97-98FC-4309-B1F6-64DC7B7C29DE}"/>
              </a:ext>
            </a:extLst>
          </xdr:cNvPr>
          <xdr:cNvSpPr txBox="1"/>
        </xdr:nvSpPr>
        <xdr:spPr>
          <a:xfrm>
            <a:off x="543088" y="976391"/>
            <a:ext cx="5251444" cy="618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Pode realizar inúmeras ações com as funções, tal como operações matemáticas, procurar valores ou até calcular datas e horas. Vamos experimentar somar valores com a função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de algumas maneiras diferentes.</a:t>
            </a:r>
          </a:p>
        </xdr:txBody>
      </xdr:sp>
      <xdr:grpSp>
        <xdr:nvGrpSpPr>
          <xdr:cNvPr id="238" name="grp_Passo">
            <a:extLst>
              <a:ext uri="{FF2B5EF4-FFF2-40B4-BE49-F238E27FC236}">
                <a16:creationId xmlns:a16="http://schemas.microsoft.com/office/drawing/2014/main" id="{B0D2ED24-6683-4531-B8F5-0F2F4933BA4A}"/>
              </a:ext>
            </a:extLst>
          </xdr:cNvPr>
          <xdr:cNvGrpSpPr/>
        </xdr:nvGrpSpPr>
        <xdr:grpSpPr>
          <a:xfrm>
            <a:off x="542925" y="1638300"/>
            <a:ext cx="5295901" cy="577157"/>
            <a:chOff x="609600" y="7810500"/>
            <a:chExt cx="5261542" cy="577157"/>
          </a:xfrm>
        </xdr:grpSpPr>
        <xdr:sp macro="" textlink="">
          <xdr:nvSpPr>
            <xdr:cNvPr id="247" name="txt_Passo" descr="Na coluna Quantidade referente a Fruta (célula D7), introduza =SOMA(D3:D6) ou escreva =SOMA( e, em seguida, selecione o intervalo com o rato e prima Enter. Esta ação irá somar os valores nas células D3, D4, D5 e D6. O resultado deverá ser 170.&#10;&#10;&#10;&#10;">
              <a:extLst>
                <a:ext uri="{FF2B5EF4-FFF2-40B4-BE49-F238E27FC236}">
                  <a16:creationId xmlns:a16="http://schemas.microsoft.com/office/drawing/2014/main" id="{810A5AB8-1BE7-4AA1-A49C-BD6D215DAFA4}"/>
                </a:ext>
              </a:extLst>
            </xdr:cNvPr>
            <xdr:cNvSpPr txBox="1"/>
          </xdr:nvSpPr>
          <xdr:spPr>
            <a:xfrm>
              <a:off x="1017295" y="7833408"/>
              <a:ext cx="485384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coluna Quantidade referente à Fruta (célula D7),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=SOMA(D3:D6)</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ou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em seguida, selecione o intervalo com o rato 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Esta ação irá somar os valores nas células D3, D4, D5 e D6. O resultado deverá ser 170.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Passo"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239" name="grp_Passo">
            <a:extLst>
              <a:ext uri="{FF2B5EF4-FFF2-40B4-BE49-F238E27FC236}">
                <a16:creationId xmlns:a16="http://schemas.microsoft.com/office/drawing/2014/main" id="{D760DDB7-6B91-4E00-B2BE-F1BD6817C42A}"/>
              </a:ext>
            </a:extLst>
          </xdr:cNvPr>
          <xdr:cNvGrpSpPr/>
        </xdr:nvGrpSpPr>
        <xdr:grpSpPr>
          <a:xfrm>
            <a:off x="542925" y="2518607"/>
            <a:ext cx="5220101" cy="1072750"/>
            <a:chOff x="609600" y="8152644"/>
            <a:chExt cx="5186234" cy="1072750"/>
          </a:xfrm>
        </xdr:grpSpPr>
        <xdr:sp macro="" textlink="">
          <xdr:nvSpPr>
            <xdr:cNvPr id="245" name="txt_Passo" descr="Vamos experimentar a Soma Automática. Selecione a célula amarela na coluna referente a Carne (célula G7) e, em seguida, aceda a Fórmulas &gt; Soma Automática &gt; selecione SOMA. Verá como o Excel introduz a fórmula automaticamente. Prima Enter para confirmar. A funcionalidade Soma Automática tem todas as funções mais comuns.&#10;&#10;">
              <a:extLst>
                <a:ext uri="{FF2B5EF4-FFF2-40B4-BE49-F238E27FC236}">
                  <a16:creationId xmlns:a16="http://schemas.microsoft.com/office/drawing/2014/main" id="{C6CA8983-E35C-4984-9B4D-732042B193D4}"/>
                </a:ext>
              </a:extLst>
            </xdr:cNvPr>
            <xdr:cNvSpPr txBox="1"/>
          </xdr:nvSpPr>
          <xdr:spPr>
            <a:xfrm>
              <a:off x="1017295" y="8194602"/>
              <a:ext cx="4778539" cy="1030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Vamos experimentar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 Automática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Selecione a célula amarela na coluna referente a Carne (célula G7) e, em seguida, aceda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 Automática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selecione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Verá como o Excel introduz a fórmula automaticamente.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confirmar. A funcionalidade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 Automática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tem todas as funções mais comuns.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Passo" descr="2">
              <a:extLst>
                <a:ext uri="{FF2B5EF4-FFF2-40B4-BE49-F238E27FC236}">
                  <a16:creationId xmlns:a16="http://schemas.microsoft.com/office/drawing/2014/main" id="{09967B0C-29E8-4781-A6FA-F5CB00C8AEBC}"/>
                </a:ext>
              </a:extLst>
            </xdr:cNvPr>
            <xdr:cNvSpPr/>
          </xdr:nvSpPr>
          <xdr:spPr>
            <a:xfrm>
              <a:off x="609600" y="8152644"/>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240" name="Grupo 239">
            <a:extLst>
              <a:ext uri="{FF2B5EF4-FFF2-40B4-BE49-F238E27FC236}">
                <a16:creationId xmlns:a16="http://schemas.microsoft.com/office/drawing/2014/main" id="{DCC331A5-B81B-407D-A604-3A6691EE3721}"/>
              </a:ext>
            </a:extLst>
          </xdr:cNvPr>
          <xdr:cNvGrpSpPr/>
        </xdr:nvGrpSpPr>
        <xdr:grpSpPr>
          <a:xfrm>
            <a:off x="542925" y="3573668"/>
            <a:ext cx="5210175" cy="601091"/>
            <a:chOff x="561975" y="3383168"/>
            <a:chExt cx="5210175"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3383168"/>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242" name="Passo" descr="Eis um atalho de teclado útil. Selecione a célula D15, prima Alt, Shift e = e, em seguida, prima Enter. A função SOMA será introduzida automaticamente.&#10;">
              <a:extLst>
                <a:ext uri="{FF2B5EF4-FFF2-40B4-BE49-F238E27FC236}">
                  <a16:creationId xmlns:a16="http://schemas.microsoft.com/office/drawing/2014/main" id="{560D1E18-37A7-48F2-AA0C-0AF6088AF0AB}"/>
                </a:ext>
              </a:extLst>
            </xdr:cNvPr>
            <xdr:cNvSpPr txBox="1"/>
          </xdr:nvSpPr>
          <xdr:spPr>
            <a:xfrm>
              <a:off x="987453" y="3428658"/>
              <a:ext cx="4784697"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Eis um atalho de teclado útil. Selecione a célula D15 e prima 	   e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introduzida automaticamente.</a:t>
              </a:r>
            </a:p>
          </xdr:txBody>
        </xdr:sp>
        <xdr:sp macro="" textlink="">
          <xdr:nvSpPr>
            <xdr:cNvPr id="243" name="Tecla Sinal de Igual" descr="Tecla Sinal de Igual">
              <a:extLst>
                <a:ext uri="{FF2B5EF4-FFF2-40B4-BE49-F238E27FC236}">
                  <a16:creationId xmlns:a16="http://schemas.microsoft.com/office/drawing/2014/main" id="{CF33041B-BB98-41EE-BDDE-38D58DF9865E}"/>
                </a:ext>
              </a:extLst>
            </xdr:cNvPr>
            <xdr:cNvSpPr/>
          </xdr:nvSpPr>
          <xdr:spPr>
            <a:xfrm>
              <a:off x="5308730" y="3450840"/>
              <a:ext cx="422585" cy="215596"/>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000">
                  <a:solidFill>
                    <a:schemeClr val="tx1"/>
                  </a:solidFill>
                  <a:latin typeface="Calibri" panose="020F0502020204030204" pitchFamily="34" charset="0"/>
                </a:rPr>
                <a:t>=</a:t>
              </a:r>
              <a:endParaRPr lang="en-US" sz="900">
                <a:solidFill>
                  <a:schemeClr val="tx1"/>
                </a:solidFill>
                <a:latin typeface="Calibri" panose="020F0502020204030204" pitchFamily="34" charset="0"/>
              </a:endParaRPr>
            </a:p>
          </xdr:txBody>
        </xdr:sp>
        <xdr:sp macro="" textlink="">
          <xdr:nvSpPr>
            <xdr:cNvPr id="244" name="Tecla Alt" descr="Tecla Alt">
              <a:extLst>
                <a:ext uri="{FF2B5EF4-FFF2-40B4-BE49-F238E27FC236}">
                  <a16:creationId xmlns:a16="http://schemas.microsoft.com/office/drawing/2014/main" id="{0BFE17A4-7B91-43C3-90BB-12A4D5132A91}"/>
                </a:ext>
              </a:extLst>
            </xdr:cNvPr>
            <xdr:cNvSpPr/>
          </xdr:nvSpPr>
          <xdr:spPr>
            <a:xfrm>
              <a:off x="4816914" y="3450840"/>
              <a:ext cx="422585" cy="215596"/>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Calibri" panose="020F0502020204030204" pitchFamily="34" charset="0"/>
                </a:rPr>
                <a:t>Alt</a:t>
              </a:r>
              <a:endParaRPr lang="en-US" sz="800" spc="100" baseline="0">
                <a:solidFill>
                  <a:schemeClr val="tx1"/>
                </a:solidFill>
                <a:latin typeface="Calibri" panose="020F0502020204030204" pitchFamily="34" charset="0"/>
              </a:endParaRPr>
            </a:p>
          </xdr:txBody>
        </xdr:sp>
      </xdr:grpSp>
    </xdr:grpSp>
    <xdr:clientData/>
  </xdr:twoCellAnchor>
  <xdr:twoCellAnchor>
    <xdr:from>
      <xdr:col>0</xdr:col>
      <xdr:colOff>647700</xdr:colOff>
      <xdr:row>20</xdr:row>
      <xdr:rowOff>171451</xdr:rowOff>
    </xdr:from>
    <xdr:to>
      <xdr:col>1</xdr:col>
      <xdr:colOff>2523042</xdr:colOff>
      <xdr:row>23</xdr:row>
      <xdr:rowOff>130875</xdr:rowOff>
    </xdr:to>
    <xdr:sp macro="" textlink="">
      <xdr:nvSpPr>
        <xdr:cNvPr id="249" name="Botão para ver mais detalhes" descr="Desça para ver mais detalhes">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552951"/>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xdr:from>
      <xdr:col>1</xdr:col>
      <xdr:colOff>3638550</xdr:colOff>
      <xdr:row>20</xdr:row>
      <xdr:rowOff>171451</xdr:rowOff>
    </xdr:from>
    <xdr:to>
      <xdr:col>1</xdr:col>
      <xdr:colOff>5013351</xdr:colOff>
      <xdr:row>22</xdr:row>
      <xdr:rowOff>135350</xdr:rowOff>
    </xdr:to>
    <xdr:sp macro="" textlink="">
      <xdr:nvSpPr>
        <xdr:cNvPr id="250" name="Botão Seguinte" descr="Botão Passo seguinte, com hiperligação para a folha seguinte">
          <a:hlinkClick xmlns:r="http://schemas.openxmlformats.org/officeDocument/2006/relationships" r:id="rId2" tooltip="Clique aqui para avançar para a folha de cálculo seguinte"/>
          <a:extLst>
            <a:ext uri="{FF2B5EF4-FFF2-40B4-BE49-F238E27FC236}">
              <a16:creationId xmlns:a16="http://schemas.microsoft.com/office/drawing/2014/main" id="{08AAD723-1A75-444B-BF90-661FB4EE2F13}"/>
            </a:ext>
          </a:extLst>
        </xdr:cNvPr>
        <xdr:cNvSpPr/>
      </xdr:nvSpPr>
      <xdr:spPr>
        <a:xfrm>
          <a:off x="4486275" y="4552951"/>
          <a:ext cx="1374801" cy="344899"/>
        </a:xfrm>
        <a:prstGeom prst="rightArrowCallout">
          <a:avLst>
            <a:gd name="adj1" fmla="val 32829"/>
            <a:gd name="adj2" fmla="val 31524"/>
            <a:gd name="adj3" fmla="val 25000"/>
            <a:gd name="adj4" fmla="val 88435"/>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24</xdr:row>
      <xdr:rowOff>125730</xdr:rowOff>
    </xdr:to>
    <xdr:grpSp>
      <xdr:nvGrpSpPr>
        <xdr:cNvPr id="50" name="Grupo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206867" y="3440430"/>
          <a:ext cx="2880358" cy="1832610"/>
          <a:chOff x="9048750" y="3743325"/>
          <a:chExt cx="2909468" cy="1828800"/>
        </a:xfrm>
      </xdr:grpSpPr>
      <xdr:sp macro="" textlink="">
        <xdr:nvSpPr>
          <xdr:cNvPr id="51" name="Passo"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666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panose="020B0502040204020203" pitchFamily="34" charset="0"/>
              </a:rPr>
              <a:t>PONTOS EXTRA</a:t>
            </a:r>
          </a:p>
          <a:p>
            <a:pPr lvl="0" rtl="0">
              <a:defRPr/>
            </a:pPr>
            <a:r>
              <a:rPr lang="pt-pt" sz="1100"/>
              <a:t>Experimente utilizar</a:t>
            </a:r>
            <a:r>
              <a:rPr lang="pt-pt" sz="1100" baseline="0"/>
              <a:t> </a:t>
            </a:r>
            <a:r>
              <a:rPr lang="pt-pt" sz="1100" b="1"/>
              <a:t> as </a:t>
            </a:r>
            <a:r>
              <a:rPr lang="pt-pt" sz="1100" b="0"/>
              <a:t>funções</a:t>
            </a:r>
            <a:r>
              <a:rPr lang="pt-pt" sz="1100" b="1"/>
              <a:t> MED ou MODA</a:t>
            </a:r>
            <a:r>
              <a:rPr lang="pt-pt" sz="1100"/>
              <a:t> aqui. A função </a:t>
            </a:r>
            <a:r>
              <a:rPr lang="pt-pt" sz="1100" baseline="0"/>
              <a:t> </a:t>
            </a:r>
          </a:p>
          <a:p>
            <a:pPr lvl="0" rtl="0">
              <a:defRPr/>
            </a:pPr>
            <a:endParaRPr lang="en-US" sz="1100" baseline="0"/>
          </a:p>
          <a:p>
            <a:pPr lvl="0" rtl="0">
              <a:defRPr/>
            </a:pPr>
            <a:r>
              <a:rPr lang="pt-pt" sz="1100" b="1" baseline="0"/>
              <a:t>MED</a:t>
            </a:r>
            <a:r>
              <a:rPr lang="pt-pt" sz="1100" baseline="0"/>
              <a:t> dá-lhe o valor no meio do conjunto de dados e a função </a:t>
            </a:r>
          </a:p>
          <a:p>
            <a:pPr lvl="0" rtl="0">
              <a:defRPr/>
            </a:pPr>
            <a:r>
              <a:rPr lang="pt-pt" sz="1100" b="1" baseline="0"/>
              <a:t>MODA</a:t>
            </a:r>
            <a:r>
              <a:rPr lang="pt-pt" sz="1100" baseline="0"/>
              <a:t> dá-lhe o valor que ocorre com mais frequência.</a:t>
            </a:r>
            <a:endParaRPr lang="en-US" sz="1100"/>
          </a:p>
        </xdr:txBody>
      </xdr:sp>
      <xdr:pic>
        <xdr:nvPicPr>
          <xdr:cNvPr id="52" name="Fita de pontos extra" descr="Fita decorativa">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Seta de Pontos Extra" descr="Seta">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BotãoAnterior" descr="Regressar à folha anterior">
          <a:hlinkClick xmlns:r="http://schemas.openxmlformats.org/officeDocument/2006/relationships" r:id="rId3" tooltip="Clique aqui para voltar à folha anterior"/>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BotãoSeguinte" descr="Avançar para a folha seguinte">
          <a:hlinkClick xmlns:r="http://schemas.openxmlformats.org/officeDocument/2006/relationships" r:id="rId4" tooltip="Clique aqui para avançar para a folha de cálculo seguinte"/>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upo 2">
          <a:extLst>
            <a:ext uri="{FF2B5EF4-FFF2-40B4-BE49-F238E27FC236}">
              <a16:creationId xmlns:a16="http://schemas.microsoft.com/office/drawing/2014/main" id="{34477964-9438-41C6-89D0-AF7334519BC2}"/>
            </a:ext>
          </a:extLst>
        </xdr:cNvPr>
        <xdr:cNvGrpSpPr/>
      </xdr:nvGrpSpPr>
      <xdr:grpSpPr>
        <a:xfrm>
          <a:off x="320040" y="3783331"/>
          <a:ext cx="5716905" cy="2381249"/>
          <a:chOff x="323850" y="3781426"/>
          <a:chExt cx="5695950" cy="2400299"/>
        </a:xfrm>
      </xdr:grpSpPr>
      <xdr:sp macro="" textlink="">
        <xdr:nvSpPr>
          <xdr:cNvPr id="62" name="Retângulo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63" name="Passo" descr="Mais informações na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Conexão Reta 63" descr="Linha decorativa">
            <a:extLst>
              <a:ext uri="{FF2B5EF4-FFF2-40B4-BE49-F238E27FC236}">
                <a16:creationId xmlns:a16="http://schemas.microsoft.com/office/drawing/2014/main" id="{78F5D1BC-989A-47DA-B5D1-2BEA7D8D2D8A}"/>
              </a:ext>
            </a:extLst>
          </xdr:cNvPr>
          <xdr:cNvCxnSpPr>
            <a:cxnSpLocks/>
          </xdr:cNvCxnSpPr>
        </xdr:nvCxnSpPr>
        <xdr:spPr>
          <a:xfrm>
            <a:off x="557084" y="43271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Conexão Reta 64" descr="Linha decorativa">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20</xdr:row>
      <xdr:rowOff>7069</xdr:rowOff>
    </xdr:from>
    <xdr:to>
      <xdr:col>1</xdr:col>
      <xdr:colOff>2552700</xdr:colOff>
      <xdr:row>21</xdr:row>
      <xdr:rowOff>175648</xdr:rowOff>
    </xdr:to>
    <xdr:grpSp>
      <xdr:nvGrpSpPr>
        <xdr:cNvPr id="4" name="Grupo 3">
          <a:extLst>
            <a:ext uri="{FF2B5EF4-FFF2-40B4-BE49-F238E27FC236}">
              <a16:creationId xmlns:a16="http://schemas.microsoft.com/office/drawing/2014/main" id="{2A2F1EF0-54C4-4E96-96D9-0F415372CF05}"/>
            </a:ext>
          </a:extLst>
        </xdr:cNvPr>
        <xdr:cNvGrpSpPr/>
      </xdr:nvGrpSpPr>
      <xdr:grpSpPr>
        <a:xfrm>
          <a:off x="533831" y="4390474"/>
          <a:ext cx="2885644" cy="353364"/>
          <a:chOff x="533831" y="4331419"/>
          <a:chExt cx="2866594" cy="359079"/>
        </a:xfrm>
      </xdr:grpSpPr>
      <xdr:sp macro="" textlink="">
        <xdr:nvSpPr>
          <xdr:cNvPr id="66" name="Passo" descr="Tudo sobre a função MÉDIA, com hiperligação para a Web&#10;&#10;">
            <a:hlinkClick xmlns:r="http://schemas.openxmlformats.org/officeDocument/2006/relationships" r:id="rId5" tooltip="Selecione para aceder à Web e saber tudo sobre a função MÉDIA"/>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a:t>
            </a:r>
          </a:p>
        </xdr:txBody>
      </xdr:sp>
      <xdr:pic>
        <xdr:nvPicPr>
          <xdr:cNvPr id="67"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22</xdr:row>
      <xdr:rowOff>510</xdr:rowOff>
    </xdr:from>
    <xdr:to>
      <xdr:col>1</xdr:col>
      <xdr:colOff>2581275</xdr:colOff>
      <xdr:row>23</xdr:row>
      <xdr:rowOff>174399</xdr:rowOff>
    </xdr:to>
    <xdr:grpSp>
      <xdr:nvGrpSpPr>
        <xdr:cNvPr id="5" name="Grupo 4">
          <a:extLst>
            <a:ext uri="{FF2B5EF4-FFF2-40B4-BE49-F238E27FC236}">
              <a16:creationId xmlns:a16="http://schemas.microsoft.com/office/drawing/2014/main" id="{8070DC97-C65B-4D56-B70E-5A742EA38D3C}"/>
            </a:ext>
          </a:extLst>
        </xdr:cNvPr>
        <xdr:cNvGrpSpPr/>
      </xdr:nvGrpSpPr>
      <xdr:grpSpPr>
        <a:xfrm>
          <a:off x="533831" y="4763010"/>
          <a:ext cx="2912314" cy="360579"/>
          <a:chOff x="533831" y="4705860"/>
          <a:chExt cx="2895169" cy="364389"/>
        </a:xfrm>
      </xdr:grpSpPr>
      <xdr:sp macro="" textlink="">
        <xdr:nvSpPr>
          <xdr:cNvPr id="68" name="Passo" descr="Tudo sobre a função CONTAR, com hiperligação para a Web&#10;">
            <a:hlinkClick xmlns:r="http://schemas.openxmlformats.org/officeDocument/2006/relationships" r:id="rId8" tooltip="Selecione para aceder à Web e saber tudo sobre a função MED"/>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a:t>
            </a:r>
          </a:p>
        </xdr:txBody>
      </xdr:sp>
      <xdr:pic>
        <xdr:nvPicPr>
          <xdr:cNvPr id="69"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24</xdr:row>
      <xdr:rowOff>14173</xdr:rowOff>
    </xdr:from>
    <xdr:to>
      <xdr:col>1</xdr:col>
      <xdr:colOff>2155460</xdr:colOff>
      <xdr:row>25</xdr:row>
      <xdr:rowOff>182752</xdr:rowOff>
    </xdr:to>
    <xdr:grpSp>
      <xdr:nvGrpSpPr>
        <xdr:cNvPr id="6" name="Grupo 5">
          <a:extLst>
            <a:ext uri="{FF2B5EF4-FFF2-40B4-BE49-F238E27FC236}">
              <a16:creationId xmlns:a16="http://schemas.microsoft.com/office/drawing/2014/main" id="{3CA2605E-542A-4852-9719-D7B97D165AA8}"/>
            </a:ext>
          </a:extLst>
        </xdr:cNvPr>
        <xdr:cNvGrpSpPr/>
      </xdr:nvGrpSpPr>
      <xdr:grpSpPr>
        <a:xfrm>
          <a:off x="533831" y="5161483"/>
          <a:ext cx="2484594" cy="353364"/>
          <a:chOff x="533831" y="5100523"/>
          <a:chExt cx="2469354" cy="359079"/>
        </a:xfrm>
      </xdr:grpSpPr>
      <xdr:sp macro="" textlink="">
        <xdr:nvSpPr>
          <xdr:cNvPr id="70" name="Passo" descr="Utilizar o Excel como uma calculadora, com hiperligação para a Web&#10;">
            <a:hlinkClick xmlns:r="http://schemas.openxmlformats.org/officeDocument/2006/relationships" r:id="rId9" tooltip="Selecione para aceder à Web e saber tudo sobre a função MODA"/>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MODA</a:t>
            </a:r>
          </a:p>
        </xdr:txBody>
      </xdr:sp>
      <xdr:pic>
        <xdr:nvPicPr>
          <xdr:cNvPr id="71" name="Gráfico 70" descr="Seta">
            <a:hlinkClick xmlns:r="http://schemas.openxmlformats.org/officeDocument/2006/relationships" r:id="rId9" tooltip="Selecione para obter mais informações na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26</xdr:row>
      <xdr:rowOff>22528</xdr:rowOff>
    </xdr:from>
    <xdr:to>
      <xdr:col>1</xdr:col>
      <xdr:colOff>3248025</xdr:colOff>
      <xdr:row>28</xdr:row>
      <xdr:rowOff>5917</xdr:rowOff>
    </xdr:to>
    <xdr:grpSp>
      <xdr:nvGrpSpPr>
        <xdr:cNvPr id="7" name="Grupo 6">
          <a:extLst>
            <a:ext uri="{FF2B5EF4-FFF2-40B4-BE49-F238E27FC236}">
              <a16:creationId xmlns:a16="http://schemas.microsoft.com/office/drawing/2014/main" id="{73707755-F600-4512-81C1-EB2BE159BA8A}"/>
            </a:ext>
          </a:extLst>
        </xdr:cNvPr>
        <xdr:cNvGrpSpPr/>
      </xdr:nvGrpSpPr>
      <xdr:grpSpPr>
        <a:xfrm>
          <a:off x="550250" y="5543218"/>
          <a:ext cx="3566455" cy="351054"/>
          <a:chOff x="546440" y="5489878"/>
          <a:chExt cx="3549310" cy="364389"/>
        </a:xfrm>
      </xdr:grpSpPr>
      <xdr:sp macro="" textlink="">
        <xdr:nvSpPr>
          <xdr:cNvPr id="72" name="Passo" descr="Formação online gratuita do Excel, com hiperligação para a Web&#10;">
            <a:hlinkClick xmlns:r="http://schemas.openxmlformats.org/officeDocument/2006/relationships" r:id="rId10" tooltip="Selecione para aceder à Web e saber tudo sobre a formação online gratuita do Excel"/>
            <a:extLst>
              <a:ext uri="{FF2B5EF4-FFF2-40B4-BE49-F238E27FC236}">
                <a16:creationId xmlns:a16="http://schemas.microsoft.com/office/drawing/2014/main" id="{C58EAA90-3FBF-49C2-82FA-21634FD8AC83}"/>
              </a:ext>
            </a:extLst>
          </xdr:cNvPr>
          <xdr:cNvSpPr txBox="1"/>
        </xdr:nvSpPr>
        <xdr:spPr>
          <a:xfrm>
            <a:off x="1011624" y="5569557"/>
            <a:ext cx="30841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73"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upo 1">
          <a:extLst>
            <a:ext uri="{FF2B5EF4-FFF2-40B4-BE49-F238E27FC236}">
              <a16:creationId xmlns:a16="http://schemas.microsoft.com/office/drawing/2014/main" id="{33E5237C-83C3-4564-93AA-DF5775431276}"/>
            </a:ext>
          </a:extLst>
        </xdr:cNvPr>
        <xdr:cNvGrpSpPr/>
      </xdr:nvGrpSpPr>
      <xdr:grpSpPr>
        <a:xfrm>
          <a:off x="331470" y="354330"/>
          <a:ext cx="5694045" cy="3314700"/>
          <a:chOff x="333375" y="352425"/>
          <a:chExt cx="5676900" cy="3314700"/>
        </a:xfrm>
      </xdr:grpSpPr>
      <xdr:sp macro="" textlink="">
        <xdr:nvSpPr>
          <xdr:cNvPr id="54" name="Fundo" descr="Fundo">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Linha inferior" descr="Linha decorativa">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Passo" descr="Funções MÉDIA e CONTAR">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1200">
                <a:solidFill>
                  <a:srgbClr val="3B3838"/>
                </a:solidFill>
                <a:effectLst/>
                <a:latin typeface="Segoe UI Light" panose="020B0502040204020203" pitchFamily="34" charset="0"/>
                <a:ea typeface="+mn-ea"/>
                <a:cs typeface="Segoe UI Light" panose="020B0502040204020203" pitchFamily="34" charset="0"/>
              </a:rPr>
              <a:t>Função MÉDIA</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sp macro="" textlink="">
        <xdr:nvSpPr>
          <xdr:cNvPr id="60" name="Introdução à soma de números"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kern="1200">
                <a:solidFill>
                  <a:schemeClr val="tx1">
                    <a:lumMod val="75000"/>
                    <a:lumOff val="25000"/>
                  </a:schemeClr>
                </a:solidFill>
                <a:latin typeface="Segoe UI" panose="020B0502040204020203" pitchFamily="34" charset="0"/>
                <a:ea typeface="+mn-ea"/>
                <a:cs typeface="Segoe UI" panose="020B0502040204020203" pitchFamily="34" charset="0"/>
              </a:rPr>
              <a:t>Utilize a função </a:t>
            </a:r>
            <a:r>
              <a:rPr lang="pt-pt" sz="1100" b="1" kern="1200">
                <a:solidFill>
                  <a:schemeClr val="tx1">
                    <a:lumMod val="75000"/>
                    <a:lumOff val="25000"/>
                  </a:schemeClr>
                </a:solidFill>
                <a:latin typeface="Segoe UI" panose="020B0502040204020203" pitchFamily="34" charset="0"/>
                <a:ea typeface="+mn-ea"/>
                <a:cs typeface="Segoe UI" panose="020B0502040204020203" pitchFamily="34" charset="0"/>
              </a:rPr>
              <a:t>MÉDIA</a:t>
            </a:r>
            <a:r>
              <a:rPr lang="pt-pt" sz="1100" kern="1200">
                <a:solidFill>
                  <a:schemeClr val="tx1">
                    <a:lumMod val="75000"/>
                    <a:lumOff val="25000"/>
                  </a:schemeClr>
                </a:solidFill>
                <a:latin typeface="Segoe UI" panose="020B0502040204020203" pitchFamily="34" charset="0"/>
                <a:ea typeface="+mn-ea"/>
                <a:cs typeface="Segoe UI" panose="020B0502040204020203" pitchFamily="34" charset="0"/>
              </a:rPr>
              <a:t> para obter uma média dos números num intervalo de células.</a:t>
            </a:r>
          </a:p>
        </xdr:txBody>
      </xdr:sp>
      <xdr:cxnSp macro="">
        <xdr:nvCxnSpPr>
          <xdr:cNvPr id="74" name="Conexão Reta 73" descr="Linha decorativa">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Passo">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Passo" descr="Clique na célula D7 e, em seguida, utilize o Assistente de Soma Automática para adicionar uma função MÉDIA.&#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D7 e, em seguida, utilize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 Automática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adicionar uma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MÉDIA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78" name="grp_Passo">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Passo" descr="Agora, clique na célula G7 e introduza uma função CONTAR manualmente ao escrever =CONTAR(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 selecione a célula G7 e introduza uma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MÉDIA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escrevendo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=MÉDIA(G3:G6).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81" name="grp_Passo">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Passo" descr="Na célula D15, pode utilizar o Assistente de Soma Automática ou introduzir uma função MÉDIA ou CONTAR manualmente.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D15, pode utilizar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 Automática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ou introduzir uma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MÉDIA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manualmente.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BotãoAnterior" descr="Regressar à folha anterior">
          <a:hlinkClick xmlns:r="http://schemas.openxmlformats.org/officeDocument/2006/relationships" r:id="rId3" tooltip="Clique aqui para voltar à folha anterior"/>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absoluteAnchor>
  <xdr:absoluteAnchor>
    <xdr:pos x="4494261" y="3181350"/>
    <xdr:ext cx="1275170" cy="335449"/>
    <xdr:sp macro="" textlink="">
      <xdr:nvSpPr>
        <xdr:cNvPr id="41" name="BotãoSeguinte" descr="Avançar para a folha seguinte">
          <a:hlinkClick xmlns:r="http://schemas.openxmlformats.org/officeDocument/2006/relationships" r:id="rId4" tooltip="Clique aqui para avançar para a folha seguinte"/>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absoluteAnchor>
  <xdr:twoCellAnchor editAs="absolute">
    <xdr:from>
      <xdr:col>7</xdr:col>
      <xdr:colOff>26670</xdr:colOff>
      <xdr:row>1</xdr:row>
      <xdr:rowOff>91440</xdr:rowOff>
    </xdr:from>
    <xdr:to>
      <xdr:col>11</xdr:col>
      <xdr:colOff>228591</xdr:colOff>
      <xdr:row>8</xdr:row>
      <xdr:rowOff>167641</xdr:rowOff>
    </xdr:to>
    <xdr:grpSp>
      <xdr:nvGrpSpPr>
        <xdr:cNvPr id="42" name="INTERESSANTE" descr="INTERESSANTE&#10;&#10;">
          <a:extLst>
            <a:ext uri="{FF2B5EF4-FFF2-40B4-BE49-F238E27FC236}">
              <a16:creationId xmlns:a16="http://schemas.microsoft.com/office/drawing/2014/main" id="{4F2C83E2-CCF8-46E7-9C89-FEAB092ACF14}"/>
            </a:ext>
          </a:extLst>
        </xdr:cNvPr>
        <xdr:cNvGrpSpPr/>
      </xdr:nvGrpSpPr>
      <xdr:grpSpPr>
        <a:xfrm>
          <a:off x="10397490" y="857250"/>
          <a:ext cx="2642226" cy="1409701"/>
          <a:chOff x="7539454" y="7993902"/>
          <a:chExt cx="2562091" cy="1409701"/>
        </a:xfrm>
      </xdr:grpSpPr>
      <xdr:grpSp>
        <xdr:nvGrpSpPr>
          <xdr:cNvPr id="43" name="Linhas de chaveta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Outra linha de chavetas" descr="Linha de chavetas">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47" name="Linha de chavetas" descr="Linha de chavetas&#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44" name="Estrelas" descr="Estrela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çõe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Selecione um intervalo de números e</a:t>
            </a:r>
            <a:r>
              <a:rPr lang="pt-pt" sz="1100" kern="0" baseline="0">
                <a:solidFill>
                  <a:schemeClr val="bg2">
                    <a:lumMod val="25000"/>
                  </a:schemeClr>
                </a:solidFill>
                <a:latin typeface="+mn-lt"/>
                <a:ea typeface="Segoe UI" pitchFamily="34" charset="0"/>
                <a:cs typeface="Segoe UI Light" panose="020B0502040204020203" pitchFamily="34" charset="0"/>
              </a:rPr>
              <a:t>, em seguida, olhe para a Barra de Estado para obter uma Média imediatamente.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Linha inferior" descr="Linha decorativa">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342900</xdr:colOff>
      <xdr:row>0</xdr:row>
      <xdr:rowOff>352425</xdr:rowOff>
    </xdr:from>
    <xdr:to>
      <xdr:col>1</xdr:col>
      <xdr:colOff>5172075</xdr:colOff>
      <xdr:row>16</xdr:row>
      <xdr:rowOff>123825</xdr:rowOff>
    </xdr:to>
    <xdr:sp macro="" textlink="">
      <xdr:nvSpPr>
        <xdr:cNvPr id="10" name="Fundo" descr="Fundo">
          <a:extLst>
            <a:ext uri="{FF2B5EF4-FFF2-40B4-BE49-F238E27FC236}">
              <a16:creationId xmlns:a16="http://schemas.microsoft.com/office/drawing/2014/main" id="{CB9819E8-3CD0-4C0B-A61A-2C34908D539E}"/>
            </a:ext>
          </a:extLst>
        </xdr:cNvPr>
        <xdr:cNvSpPr/>
      </xdr:nvSpPr>
      <xdr:spPr>
        <a:xfrm>
          <a:off x="34290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Passo" descr="Funções MÍNIMO e MÁXIMO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1200">
              <a:solidFill>
                <a:srgbClr val="3B3838"/>
              </a:solidFill>
              <a:effectLst/>
              <a:latin typeface="Segoe UI Light" panose="020B0502040204020203" pitchFamily="34" charset="0"/>
              <a:ea typeface="+mn-ea"/>
              <a:cs typeface="Segoe UI Light" panose="020B0502040204020203" pitchFamily="34" charset="0"/>
            </a:rPr>
            <a:t>Funções MÍNIMO e MÁXIMO </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Linha inferior" descr="Linha decorativa">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Passo">
          <a:extLst>
            <a:ext uri="{FF2B5EF4-FFF2-40B4-BE49-F238E27FC236}">
              <a16:creationId xmlns:a16="http://schemas.microsoft.com/office/drawing/2014/main" id="{ACD1828C-DCA0-413C-9B03-AC8C886B868F}"/>
            </a:ext>
          </a:extLst>
        </xdr:cNvPr>
        <xdr:cNvGrpSpPr/>
      </xdr:nvGrpSpPr>
      <xdr:grpSpPr>
        <a:xfrm>
          <a:off x="571505" y="1441139"/>
          <a:ext cx="5235007" cy="598737"/>
          <a:chOff x="425239" y="1752333"/>
          <a:chExt cx="5226084" cy="603875"/>
        </a:xfrm>
      </xdr:grpSpPr>
      <xdr:sp macro="" textlink="">
        <xdr:nvSpPr>
          <xdr:cNvPr id="24" name="Passo" descr="Selecione a célula D7 e, em seguida, utilize o Assistente de Soma Automática para adicionar uma função MÍNIMO.&#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D7 e, em seguida, utilize o Assistente de Soma Automática para adicionar uma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MÍNIMO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Passo">
          <a:extLst>
            <a:ext uri="{FF2B5EF4-FFF2-40B4-BE49-F238E27FC236}">
              <a16:creationId xmlns:a16="http://schemas.microsoft.com/office/drawing/2014/main" id="{C6DE3E57-FFF3-4FAC-B4DB-48087863CEA8}"/>
            </a:ext>
          </a:extLst>
        </xdr:cNvPr>
        <xdr:cNvGrpSpPr/>
      </xdr:nvGrpSpPr>
      <xdr:grpSpPr>
        <a:xfrm>
          <a:off x="560075" y="1958354"/>
          <a:ext cx="5242633" cy="558741"/>
          <a:chOff x="308069" y="1003336"/>
          <a:chExt cx="5226090" cy="565088"/>
        </a:xfrm>
      </xdr:grpSpPr>
      <xdr:sp macro="" textlink="">
        <xdr:nvSpPr>
          <xdr:cNvPr id="22" name="Passo" descr="Agora, selecione a célula G7 e introduza a função MÁXIMO ao escrever =MÁXIMO(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 selecione a célula G7 e introduza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MÁXIMO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ao escrever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=MÁXIMO(G3:G6)</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133348</xdr:rowOff>
    </xdr:from>
    <xdr:to>
      <xdr:col>1</xdr:col>
      <xdr:colOff>5024713</xdr:colOff>
      <xdr:row>3</xdr:row>
      <xdr:rowOff>190499</xdr:rowOff>
    </xdr:to>
    <xdr:sp macro="" textlink="">
      <xdr:nvSpPr>
        <xdr:cNvPr id="18" name="Introdução à soma de números"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8"/>
          <a:ext cx="5300938" cy="438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kern="1200" spc="-30">
              <a:solidFill>
                <a:schemeClr val="tx1">
                  <a:lumMod val="75000"/>
                  <a:lumOff val="25000"/>
                </a:schemeClr>
              </a:solidFill>
              <a:latin typeface="Segoe UI" panose="020B0502040204020203" pitchFamily="34" charset="0"/>
              <a:ea typeface="+mn-ea"/>
              <a:cs typeface="Segoe UI" panose="020B0502040204020203" pitchFamily="34" charset="0"/>
            </a:rPr>
            <a:t>Utilize a função </a:t>
          </a:r>
          <a:r>
            <a:rPr lang="pt-pt" sz="1100" b="1" kern="1200" spc="-30">
              <a:solidFill>
                <a:schemeClr val="tx1">
                  <a:lumMod val="75000"/>
                  <a:lumOff val="25000"/>
                </a:schemeClr>
              </a:solidFill>
              <a:latin typeface="Segoe UI" panose="020B0502040204020203" pitchFamily="34" charset="0"/>
              <a:ea typeface="+mn-ea"/>
              <a:cs typeface="Segoe UI" panose="020B0502040204020203" pitchFamily="34" charset="0"/>
            </a:rPr>
            <a:t>MÍNIMO</a:t>
          </a:r>
          <a:r>
            <a:rPr lang="pt-pt" sz="1100" kern="1200" spc="-30">
              <a:solidFill>
                <a:schemeClr val="tx1">
                  <a:lumMod val="75000"/>
                  <a:lumOff val="25000"/>
                </a:schemeClr>
              </a:solidFill>
              <a:latin typeface="Segoe UI" panose="020B0502040204020203" pitchFamily="34" charset="0"/>
              <a:ea typeface="+mn-ea"/>
              <a:cs typeface="Segoe UI" panose="020B0502040204020203" pitchFamily="34" charset="0"/>
            </a:rPr>
            <a:t> para obter o número mais baixo num intervalo de células.</a:t>
          </a: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Utilize a função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MÁXIMO</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obter o número mais elevado num intervalo de células.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Passo">
          <a:extLst>
            <a:ext uri="{FF2B5EF4-FFF2-40B4-BE49-F238E27FC236}">
              <a16:creationId xmlns:a16="http://schemas.microsoft.com/office/drawing/2014/main" id="{E19A8549-EA85-41D7-8F76-919D997AC5D5}"/>
            </a:ext>
          </a:extLst>
        </xdr:cNvPr>
        <xdr:cNvGrpSpPr/>
      </xdr:nvGrpSpPr>
      <xdr:grpSpPr>
        <a:xfrm>
          <a:off x="560070" y="2476499"/>
          <a:ext cx="5287717" cy="592397"/>
          <a:chOff x="307333" y="1003336"/>
          <a:chExt cx="5225997" cy="603885"/>
        </a:xfrm>
      </xdr:grpSpPr>
      <xdr:sp macro="" textlink="">
        <xdr:nvSpPr>
          <xdr:cNvPr id="20" name="Passo" descr="Na célula D15, pode utilizar o Assistente de Soma Automática ou escrever uma função MÍNIMO ou MÁXIMO manualmente.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D15, pode utilizar o Assistente de Soma Automática ou escrever uma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MÍNIMO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ou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MÁXIMO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manualmente.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342900</xdr:colOff>
      <xdr:row>17</xdr:row>
      <xdr:rowOff>19051</xdr:rowOff>
    </xdr:from>
    <xdr:to>
      <xdr:col>1</xdr:col>
      <xdr:colOff>5191125</xdr:colOff>
      <xdr:row>28</xdr:row>
      <xdr:rowOff>1</xdr:rowOff>
    </xdr:to>
    <xdr:grpSp>
      <xdr:nvGrpSpPr>
        <xdr:cNvPr id="3" name="Grupo 2">
          <a:extLst>
            <a:ext uri="{FF2B5EF4-FFF2-40B4-BE49-F238E27FC236}">
              <a16:creationId xmlns:a16="http://schemas.microsoft.com/office/drawing/2014/main" id="{93BD323D-B807-4DC9-82D1-2419D0592459}"/>
            </a:ext>
          </a:extLst>
        </xdr:cNvPr>
        <xdr:cNvGrpSpPr/>
      </xdr:nvGrpSpPr>
      <xdr:grpSpPr>
        <a:xfrm>
          <a:off x="342900" y="3825241"/>
          <a:ext cx="5716905" cy="2070735"/>
          <a:chOff x="361950" y="4257676"/>
          <a:chExt cx="5695950" cy="2076450"/>
        </a:xfrm>
      </xdr:grpSpPr>
      <xdr:sp macro="" textlink="">
        <xdr:nvSpPr>
          <xdr:cNvPr id="27" name="Retângulo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28" name="Passo" descr="Mais informações na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Conexão Reta 28" descr="Linha decorativa">
            <a:extLst>
              <a:ext uri="{FF2B5EF4-FFF2-40B4-BE49-F238E27FC236}">
                <a16:creationId xmlns:a16="http://schemas.microsoft.com/office/drawing/2014/main" id="{B3104255-0CEA-4FDA-A658-47296C06C36F}"/>
              </a:ext>
            </a:extLst>
          </xdr:cNvPr>
          <xdr:cNvCxnSpPr>
            <a:cxnSpLocks/>
          </xdr:cNvCxnSpPr>
        </xdr:nvCxnSpPr>
        <xdr:spPr>
          <a:xfrm>
            <a:off x="553932" y="48224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Conexão Reta 29" descr="Linha decorativa">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73744</xdr:rowOff>
    </xdr:from>
    <xdr:to>
      <xdr:col>1</xdr:col>
      <xdr:colOff>2590800</xdr:colOff>
      <xdr:row>22</xdr:row>
      <xdr:rowOff>51823</xdr:rowOff>
    </xdr:to>
    <xdr:grpSp>
      <xdr:nvGrpSpPr>
        <xdr:cNvPr id="6" name="Grupo 5">
          <a:extLst>
            <a:ext uri="{FF2B5EF4-FFF2-40B4-BE49-F238E27FC236}">
              <a16:creationId xmlns:a16="http://schemas.microsoft.com/office/drawing/2014/main" id="{FFCA9288-014C-4486-980E-27B20766EED2}"/>
            </a:ext>
          </a:extLst>
        </xdr:cNvPr>
        <xdr:cNvGrpSpPr/>
      </xdr:nvGrpSpPr>
      <xdr:grpSpPr>
        <a:xfrm>
          <a:off x="571931" y="4455244"/>
          <a:ext cx="2885644" cy="362889"/>
          <a:chOff x="571931" y="4826719"/>
          <a:chExt cx="2866594" cy="359079"/>
        </a:xfrm>
      </xdr:grpSpPr>
      <xdr:sp macro="" textlink="">
        <xdr:nvSpPr>
          <xdr:cNvPr id="31" name="Passo" descr="Tudo sobre a função MÍNIMO, com hiperligação para a Web&#10;&#10;">
            <a:hlinkClick xmlns:r="http://schemas.openxmlformats.org/officeDocument/2006/relationships" r:id="rId1" tooltip="Selecione para aceder à Web e saber tudo sobre a função MÍNIMO"/>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MÍNIMO</a:t>
            </a:r>
          </a:p>
        </xdr:txBody>
      </xdr:sp>
      <xdr:pic>
        <xdr:nvPicPr>
          <xdr:cNvPr id="32" name="Gráfico 22" descr="Seta">
            <a:hlinkClick xmlns:r="http://schemas.openxmlformats.org/officeDocument/2006/relationships" r:id="rId1" tooltip="Selecione para obter mais informações na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59671</xdr:rowOff>
    </xdr:from>
    <xdr:to>
      <xdr:col>1</xdr:col>
      <xdr:colOff>2619375</xdr:colOff>
      <xdr:row>24</xdr:row>
      <xdr:rowOff>43060</xdr:rowOff>
    </xdr:to>
    <xdr:grpSp>
      <xdr:nvGrpSpPr>
        <xdr:cNvPr id="5" name="Grupo 4">
          <a:extLst>
            <a:ext uri="{FF2B5EF4-FFF2-40B4-BE49-F238E27FC236}">
              <a16:creationId xmlns:a16="http://schemas.microsoft.com/office/drawing/2014/main" id="{432B9DC1-07CB-4CB5-9408-142776FE3CE6}"/>
            </a:ext>
          </a:extLst>
        </xdr:cNvPr>
        <xdr:cNvGrpSpPr/>
      </xdr:nvGrpSpPr>
      <xdr:grpSpPr>
        <a:xfrm>
          <a:off x="571931" y="4818361"/>
          <a:ext cx="2912314" cy="370104"/>
          <a:chOff x="571931" y="5193646"/>
          <a:chExt cx="2895169" cy="364389"/>
        </a:xfrm>
      </xdr:grpSpPr>
      <xdr:sp macro="" textlink="">
        <xdr:nvSpPr>
          <xdr:cNvPr id="33" name="Passo" descr="Tudo sobre a função MÁXIMO, com hiperligação para a Web&#10;">
            <a:hlinkClick xmlns:r="http://schemas.openxmlformats.org/officeDocument/2006/relationships" r:id="rId4" tooltip="Selecione para aceder à Web e saber tudo sobre a função MÁXIMO"/>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MÁXIMO</a:t>
            </a:r>
          </a:p>
        </xdr:txBody>
      </xdr:sp>
      <xdr:pic>
        <xdr:nvPicPr>
          <xdr:cNvPr id="34" name="Gráfico 22" descr="Seta">
            <a:hlinkClick xmlns:r="http://schemas.openxmlformats.org/officeDocument/2006/relationships" r:id="rId4" tooltip="Selecione para obter mais informações na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98728</xdr:rowOff>
    </xdr:from>
    <xdr:to>
      <xdr:col>1</xdr:col>
      <xdr:colOff>2962275</xdr:colOff>
      <xdr:row>26</xdr:row>
      <xdr:rowOff>82117</xdr:rowOff>
    </xdr:to>
    <xdr:grpSp>
      <xdr:nvGrpSpPr>
        <xdr:cNvPr id="4" name="Grupo 3">
          <a:extLst>
            <a:ext uri="{FF2B5EF4-FFF2-40B4-BE49-F238E27FC236}">
              <a16:creationId xmlns:a16="http://schemas.microsoft.com/office/drawing/2014/main" id="{742226DB-497C-49F5-B244-A06F92B322A2}"/>
            </a:ext>
          </a:extLst>
        </xdr:cNvPr>
        <xdr:cNvGrpSpPr/>
      </xdr:nvGrpSpPr>
      <xdr:grpSpPr>
        <a:xfrm>
          <a:off x="588350" y="5238418"/>
          <a:ext cx="3238795" cy="360579"/>
          <a:chOff x="584540" y="5613703"/>
          <a:chExt cx="3225460" cy="364389"/>
        </a:xfrm>
      </xdr:grpSpPr>
      <xdr:sp macro="" textlink="">
        <xdr:nvSpPr>
          <xdr:cNvPr id="37" name="Passo" descr="Formação online gratuita do Excel, com hiperligação para a Web&#10;">
            <a:hlinkClick xmlns:r="http://schemas.openxmlformats.org/officeDocument/2006/relationships" r:id="rId5" tooltip="Selecione para aceder à Web e saber tudo sobre a formação online gratuita do Excel"/>
            <a:extLst>
              <a:ext uri="{FF2B5EF4-FFF2-40B4-BE49-F238E27FC236}">
                <a16:creationId xmlns:a16="http://schemas.microsoft.com/office/drawing/2014/main" id="{F83437F7-466E-4778-8A80-A19AB367662B}"/>
              </a:ext>
            </a:extLst>
          </xdr:cNvPr>
          <xdr:cNvSpPr txBox="1"/>
        </xdr:nvSpPr>
        <xdr:spPr>
          <a:xfrm>
            <a:off x="1049724" y="5636232"/>
            <a:ext cx="276027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38"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1285874</xdr:colOff>
      <xdr:row>15</xdr:row>
      <xdr:rowOff>152400</xdr:rowOff>
    </xdr:from>
    <xdr:to>
      <xdr:col>7</xdr:col>
      <xdr:colOff>508634</xdr:colOff>
      <xdr:row>25</xdr:row>
      <xdr:rowOff>96710</xdr:rowOff>
    </xdr:to>
    <xdr:grpSp>
      <xdr:nvGrpSpPr>
        <xdr:cNvPr id="39" name="INFORMAÇÕES ÚTEIS" descr="INFORMAÇÕES ÚTEIS&#10;&#10;">
          <a:extLst>
            <a:ext uri="{FF2B5EF4-FFF2-40B4-BE49-F238E27FC236}">
              <a16:creationId xmlns:a16="http://schemas.microsoft.com/office/drawing/2014/main" id="{1617705E-A557-408B-AB54-5DBE8291A7F8}"/>
            </a:ext>
          </a:extLst>
        </xdr:cNvPr>
        <xdr:cNvGrpSpPr/>
      </xdr:nvGrpSpPr>
      <xdr:grpSpPr>
        <a:xfrm>
          <a:off x="7837169" y="3581400"/>
          <a:ext cx="3657600" cy="1845500"/>
          <a:chOff x="6778625" y="15514765"/>
          <a:chExt cx="3616724" cy="1776285"/>
        </a:xfrm>
      </xdr:grpSpPr>
      <xdr:sp macro="" textlink="">
        <xdr:nvSpPr>
          <xdr:cNvPr id="40" name="Passo"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35239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Pode utilizar a função </a:t>
            </a:r>
            <a:r>
              <a:rPr lang="pt-pt" sz="1100" b="1" i="0" kern="1200" baseline="0">
                <a:solidFill>
                  <a:schemeClr val="dk1"/>
                </a:solidFill>
                <a:effectLst/>
                <a:latin typeface="+mn-lt"/>
                <a:ea typeface="+mn-ea"/>
                <a:cs typeface="+mn-cs"/>
              </a:rPr>
              <a:t>MÍNIMO</a:t>
            </a:r>
            <a:r>
              <a:rPr lang="pt-pt" sz="1100" b="0" i="0" kern="1200" baseline="0">
                <a:solidFill>
                  <a:schemeClr val="dk1"/>
                </a:solidFill>
                <a:effectLst/>
                <a:latin typeface="+mn-lt"/>
                <a:ea typeface="+mn-ea"/>
                <a:cs typeface="+mn-cs"/>
              </a:rPr>
              <a:t> ou </a:t>
            </a:r>
            <a:r>
              <a:rPr lang="pt-pt" sz="1100" b="1" i="0" kern="1200" baseline="0">
                <a:solidFill>
                  <a:schemeClr val="dk1"/>
                </a:solidFill>
                <a:effectLst/>
                <a:latin typeface="+mn-lt"/>
                <a:ea typeface="+mn-ea"/>
                <a:cs typeface="+mn-cs"/>
              </a:rPr>
              <a:t>MÁXIMO</a:t>
            </a:r>
            <a:r>
              <a:rPr lang="pt-pt" sz="1100" b="0" i="0" kern="1200" baseline="0">
                <a:solidFill>
                  <a:schemeClr val="dk1"/>
                </a:solidFill>
                <a:effectLst/>
                <a:latin typeface="+mn-lt"/>
                <a:ea typeface="+mn-ea"/>
                <a:cs typeface="+mn-cs"/>
              </a:rPr>
              <a:t> com múltiplos intervalos ou valores para apresentar os valores mais baixos ou mais elevados. Por exemplo, =MÍNIMO(A1:A10;B1:B10) ou =MÁXIMO(A1:A10;B1), em que a célula B1 contém um valor de limiar, como 10. Neste caso, a fórmula nunca irá devolver um resultado inferior a 10.</a:t>
            </a:r>
            <a:endParaRPr lang="en-US" sz="1100">
              <a:effectLst/>
              <a:latin typeface="+mn-lt"/>
            </a:endParaRPr>
          </a:p>
        </xdr:txBody>
      </xdr:sp>
      <xdr:pic>
        <xdr:nvPicPr>
          <xdr:cNvPr id="41" name="Gráfico 147" descr="Óculo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orma livre: forma 41" descr="Seta">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absoluteAnchor>
    <xdr:pos x="561975" y="3267075"/>
    <xdr:ext cx="1275170" cy="335449"/>
    <xdr:sp macro="" textlink="">
      <xdr:nvSpPr>
        <xdr:cNvPr id="43" name="BotãoAnterior" descr="Regressar à folha anterior">
          <a:hlinkClick xmlns:r="http://schemas.openxmlformats.org/officeDocument/2006/relationships" r:id="rId8" tooltip="Clique aqui para voltar à folha anterior"/>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absoluteAnchor>
  <xdr:absoluteAnchor>
    <xdr:pos x="4484736" y="3267075"/>
    <xdr:ext cx="1275170" cy="335449"/>
    <xdr:sp macro="" textlink="">
      <xdr:nvSpPr>
        <xdr:cNvPr id="44" name="BotãoSeguinte" descr="Avançar para a folha seguinte">
          <a:hlinkClick xmlns:r="http://schemas.openxmlformats.org/officeDocument/2006/relationships" r:id="rId9" tooltip="Clique aqui para avançar para a folha seguinte"/>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Linha inferior" descr="Linha decorativa">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absolute">
    <xdr:from>
      <xdr:col>4</xdr:col>
      <xdr:colOff>85725</xdr:colOff>
      <xdr:row>0</xdr:row>
      <xdr:rowOff>183199</xdr:rowOff>
    </xdr:from>
    <xdr:to>
      <xdr:col>9</xdr:col>
      <xdr:colOff>474345</xdr:colOff>
      <xdr:row>6</xdr:row>
      <xdr:rowOff>124459</xdr:rowOff>
    </xdr:to>
    <xdr:grpSp>
      <xdr:nvGrpSpPr>
        <xdr:cNvPr id="110" name="INFORMAÇÕES ÚTEIS"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9869805" y="181294"/>
          <a:ext cx="3686175" cy="1869120"/>
          <a:chOff x="6778625" y="15462007"/>
          <a:chExt cx="3432175" cy="1882532"/>
        </a:xfrm>
      </xdr:grpSpPr>
      <xdr:sp macro="" textlink="">
        <xdr:nvSpPr>
          <xdr:cNvPr id="111" name="Passo"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679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O Excel guarda as datas e horas com base no número de dias a partir de 1 de janeiro de 1900. As horas são guardadas em partes fracionárias de um dia baseado em minutos. Então, 01/01/2017 às 12:30 é armazenado como 42736,5208. Se os valores de Hora ou Data forem apresentados como números semelhantes a este, pode premir </a:t>
            </a:r>
            <a:r>
              <a:rPr lang="pt-pt" sz="1100" b="1" i="0" kern="1200" baseline="0">
                <a:solidFill>
                  <a:schemeClr val="dk1"/>
                </a:solidFill>
                <a:effectLst/>
                <a:latin typeface="+mn-lt"/>
                <a:ea typeface="+mn-ea"/>
                <a:cs typeface="+mn-cs"/>
              </a:rPr>
              <a:t>Ctrl+1</a:t>
            </a:r>
            <a:r>
              <a:rPr lang="pt-pt" sz="1100" b="0" i="0" kern="1200" baseline="0">
                <a:solidFill>
                  <a:schemeClr val="dk1"/>
                </a:solidFill>
                <a:effectLst/>
                <a:latin typeface="+mn-lt"/>
                <a:ea typeface="+mn-ea"/>
                <a:cs typeface="+mn-cs"/>
              </a:rPr>
              <a:t> &gt;</a:t>
            </a:r>
            <a:r>
              <a:rPr lang="pt-pt" sz="1100" b="1" i="0" kern="1200" baseline="0">
                <a:solidFill>
                  <a:schemeClr val="dk1"/>
                </a:solidFill>
                <a:effectLst/>
                <a:latin typeface="+mn-lt"/>
                <a:ea typeface="+mn-ea"/>
                <a:cs typeface="+mn-cs"/>
              </a:rPr>
              <a:t> Número </a:t>
            </a:r>
            <a:r>
              <a:rPr lang="pt-pt" sz="1100" b="0" i="0" kern="1200" baseline="0">
                <a:solidFill>
                  <a:schemeClr val="dk1"/>
                </a:solidFill>
                <a:effectLst/>
                <a:latin typeface="+mn-lt"/>
                <a:ea typeface="+mn-ea"/>
                <a:cs typeface="+mn-cs"/>
              </a:rPr>
              <a:t>&gt;</a:t>
            </a:r>
            <a:r>
              <a:rPr lang="pt-pt" sz="1100" b="1" i="0" kern="1200" baseline="0">
                <a:solidFill>
                  <a:schemeClr val="dk1"/>
                </a:solidFill>
                <a:effectLst/>
                <a:latin typeface="+mn-lt"/>
                <a:ea typeface="+mn-ea"/>
                <a:cs typeface="+mn-cs"/>
              </a:rPr>
              <a:t> </a:t>
            </a:r>
            <a:r>
              <a:rPr lang="pt-pt" sz="1100" b="0" i="0" kern="1200" baseline="0">
                <a:solidFill>
                  <a:schemeClr val="dk1"/>
                </a:solidFill>
                <a:effectLst/>
                <a:latin typeface="+mn-lt"/>
                <a:ea typeface="+mn-ea"/>
                <a:cs typeface="+mn-cs"/>
              </a:rPr>
              <a:t>selecionar</a:t>
            </a:r>
            <a:r>
              <a:rPr lang="pt-pt" sz="1100" b="1" i="0" kern="1200" baseline="0">
                <a:solidFill>
                  <a:schemeClr val="dk1"/>
                </a:solidFill>
                <a:effectLst/>
                <a:latin typeface="+mn-lt"/>
                <a:ea typeface="+mn-ea"/>
                <a:cs typeface="+mn-cs"/>
              </a:rPr>
              <a:t> </a:t>
            </a:r>
            <a:r>
              <a:rPr lang="pt-pt" sz="1100" b="0" i="0" kern="1200" baseline="0">
                <a:solidFill>
                  <a:schemeClr val="dk1"/>
                </a:solidFill>
                <a:effectLst/>
                <a:latin typeface="+mn-lt"/>
                <a:ea typeface="+mn-ea"/>
                <a:cs typeface="+mn-cs"/>
              </a:rPr>
              <a:t>um</a:t>
            </a:r>
            <a:r>
              <a:rPr lang="pt-pt" sz="1100" b="1" i="0" kern="1200" baseline="0">
                <a:solidFill>
                  <a:schemeClr val="dk1"/>
                </a:solidFill>
                <a:effectLst/>
                <a:latin typeface="+mn-lt"/>
                <a:ea typeface="+mn-ea"/>
                <a:cs typeface="+mn-cs"/>
              </a:rPr>
              <a:t> </a:t>
            </a:r>
            <a:r>
              <a:rPr lang="pt-pt" sz="1100" b="0" i="0" kern="1200" baseline="0">
                <a:solidFill>
                  <a:schemeClr val="dk1"/>
                </a:solidFill>
                <a:effectLst/>
                <a:latin typeface="+mn-lt"/>
                <a:ea typeface="+mn-ea"/>
                <a:cs typeface="+mn-cs"/>
              </a:rPr>
              <a:t>formato de </a:t>
            </a:r>
            <a:r>
              <a:rPr lang="pt-pt" sz="1100" b="1" i="0" kern="1200" baseline="0">
                <a:solidFill>
                  <a:schemeClr val="dk1"/>
                </a:solidFill>
                <a:effectLst/>
                <a:latin typeface="+mn-lt"/>
                <a:ea typeface="+mn-ea"/>
                <a:cs typeface="+mn-cs"/>
              </a:rPr>
              <a:t>Data</a:t>
            </a:r>
            <a:r>
              <a:rPr lang="pt-pt" sz="1100" b="0" i="0" kern="1200" baseline="0">
                <a:solidFill>
                  <a:schemeClr val="dk1"/>
                </a:solidFill>
                <a:effectLst/>
                <a:latin typeface="+mn-lt"/>
                <a:ea typeface="+mn-ea"/>
                <a:cs typeface="+mn-cs"/>
              </a:rPr>
              <a:t> ou </a:t>
            </a:r>
            <a:r>
              <a:rPr lang="pt-pt" sz="1100" b="1" i="0" kern="1200" baseline="0">
                <a:solidFill>
                  <a:schemeClr val="dk1"/>
                </a:solidFill>
                <a:effectLst/>
                <a:latin typeface="+mn-lt"/>
                <a:ea typeface="+mn-ea"/>
                <a:cs typeface="+mn-cs"/>
              </a:rPr>
              <a:t>Hora</a:t>
            </a:r>
            <a:r>
              <a:rPr lang="pt-pt" sz="1100" b="0" i="0" kern="1200" baseline="0">
                <a:solidFill>
                  <a:schemeClr val="dk1"/>
                </a:solidFill>
                <a:effectLst/>
                <a:latin typeface="+mn-lt"/>
                <a:ea typeface="+mn-ea"/>
                <a:cs typeface="+mn-cs"/>
              </a:rPr>
              <a:t>. </a:t>
            </a:r>
            <a:endParaRPr lang="en-US" sz="1100">
              <a:effectLst/>
              <a:latin typeface="+mn-lt"/>
            </a:endParaRPr>
          </a:p>
        </xdr:txBody>
      </xdr:sp>
      <xdr:pic>
        <xdr:nvPicPr>
          <xdr:cNvPr id="112" name="Gráfico 147" descr="Óculo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orma livre: forma 112" descr="Seta">
            <a:extLst>
              <a:ext uri="{FF2B5EF4-FFF2-40B4-BE49-F238E27FC236}">
                <a16:creationId xmlns:a16="http://schemas.microsoft.com/office/drawing/2014/main" id="{70DF2B70-E9B4-4B83-9810-DBBCC80FDC11}"/>
              </a:ext>
            </a:extLst>
          </xdr:cNvPr>
          <xdr:cNvSpPr/>
        </xdr:nvSpPr>
        <xdr:spPr>
          <a:xfrm rot="5774257" flipV="1">
            <a:off x="8658804" y="15243228"/>
            <a:ext cx="284005" cy="721564"/>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0</xdr:row>
      <xdr:rowOff>361950</xdr:rowOff>
    </xdr:from>
    <xdr:to>
      <xdr:col>1</xdr:col>
      <xdr:colOff>5238750</xdr:colOff>
      <xdr:row>18</xdr:row>
      <xdr:rowOff>152400</xdr:rowOff>
    </xdr:to>
    <xdr:grpSp>
      <xdr:nvGrpSpPr>
        <xdr:cNvPr id="2" name="Grupo 1">
          <a:extLst>
            <a:ext uri="{FF2B5EF4-FFF2-40B4-BE49-F238E27FC236}">
              <a16:creationId xmlns:a16="http://schemas.microsoft.com/office/drawing/2014/main" id="{9EC07B18-6CCC-4D21-8D16-EAC636990ABB}"/>
            </a:ext>
          </a:extLst>
        </xdr:cNvPr>
        <xdr:cNvGrpSpPr/>
      </xdr:nvGrpSpPr>
      <xdr:grpSpPr>
        <a:xfrm>
          <a:off x="342900" y="358140"/>
          <a:ext cx="5758815" cy="3985260"/>
          <a:chOff x="342900" y="352425"/>
          <a:chExt cx="5734050" cy="4115564"/>
        </a:xfrm>
      </xdr:grpSpPr>
      <xdr:sp macro="" textlink="">
        <xdr:nvSpPr>
          <xdr:cNvPr id="88" name="txt_FundoDaApresentação" descr="Fundo">
            <a:extLst>
              <a:ext uri="{FF2B5EF4-FFF2-40B4-BE49-F238E27FC236}">
                <a16:creationId xmlns:a16="http://schemas.microsoft.com/office/drawing/2014/main" id="{1B9F331C-35CF-445A-B76D-D6E6332E2CF5}"/>
              </a:ext>
            </a:extLst>
          </xdr:cNvPr>
          <xdr:cNvSpPr/>
        </xdr:nvSpPr>
        <xdr:spPr>
          <a:xfrm>
            <a:off x="342900" y="352425"/>
            <a:ext cx="5734050" cy="411556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CabeçalhoDaApresentação" descr="Funções com Data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com Datas</a:t>
            </a:r>
            <a:endPar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Courier New" panose="02070309020205020404" pitchFamily="49" charset="0"/>
            </a:endParaRPr>
          </a:p>
        </xdr:txBody>
      </xdr:sp>
      <xdr:cxnSp macro="">
        <xdr:nvCxnSpPr>
          <xdr:cNvPr id="98" name="txt_Linha1DaApresentação" descr="Linha decorativa">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Linha2DaApresentação" descr="Linha decorativa">
            <a:extLst>
              <a:ext uri="{FF2B5EF4-FFF2-40B4-BE49-F238E27FC236}">
                <a16:creationId xmlns:a16="http://schemas.microsoft.com/office/drawing/2014/main" id="{A8B37EE1-E313-4FB9-9B34-9B560124860A}"/>
              </a:ext>
            </a:extLst>
          </xdr:cNvPr>
          <xdr:cNvCxnSpPr>
            <a:cxnSpLocks/>
          </xdr:cNvCxnSpPr>
        </xdr:nvCxnSpPr>
        <xdr:spPr>
          <a:xfrm>
            <a:off x="546103" y="427274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IntroduçãoDaApresentação" descr="O Excel pode apresentar-lhe a data atual, com base nas definições de região do seu computador. Também pode somar e subtrair Data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apresentar-lhe a data atual, com base nas definições de região do seu computador. Também pode somar e subtrair Datas.</a:t>
            </a:r>
          </a:p>
        </xdr:txBody>
      </xdr:sp>
      <xdr:grpSp>
        <xdr:nvGrpSpPr>
          <xdr:cNvPr id="105" name="grp_Passo">
            <a:extLst>
              <a:ext uri="{FF2B5EF4-FFF2-40B4-BE49-F238E27FC236}">
                <a16:creationId xmlns:a16="http://schemas.microsoft.com/office/drawing/2014/main" id="{06FF7E03-9CF3-4BF2-97FA-A9B470E37530}"/>
              </a:ext>
            </a:extLst>
          </xdr:cNvPr>
          <xdr:cNvGrpSpPr/>
        </xdr:nvGrpSpPr>
        <xdr:grpSpPr>
          <a:xfrm>
            <a:off x="561975" y="1578608"/>
            <a:ext cx="5467350" cy="740887"/>
            <a:chOff x="600549" y="7810500"/>
            <a:chExt cx="5195285" cy="748179"/>
          </a:xfrm>
        </xdr:grpSpPr>
        <xdr:sp macro="" textlink="">
          <xdr:nvSpPr>
            <xdr:cNvPr id="106" name="txt_Passo" descr="Veja a função HOJE, que lhe apresenta a data de hoje. Estas funções são voláteis, pelo que se abrir o livro amanhã, será apresentada a data de amanhã. Introduza =HOJE() na célula D6. &#10;&#10;">
              <a:extLst>
                <a:ext uri="{FF2B5EF4-FFF2-40B4-BE49-F238E27FC236}">
                  <a16:creationId xmlns:a16="http://schemas.microsoft.com/office/drawing/2014/main" id="{2869B18E-B13C-49FB-B4C9-A2A2A69C0D27}"/>
                </a:ext>
              </a:extLst>
            </xdr:cNvPr>
            <xdr:cNvSpPr txBox="1"/>
          </xdr:nvSpPr>
          <xdr:spPr>
            <a:xfrm>
              <a:off x="1017295" y="7852458"/>
              <a:ext cx="4778539" cy="70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Veja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lhe apresenta a data de hoje. Estas funções são voláteis, já que se abrir o livro amanhã, será apresentada a data de amanhã.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D6.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Passo"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114" name="grp_Passo" descr="Subtrair Datas – introduza o seu próximo aniversário no formato DD/MM/AA e veja como o Excel o informa de quantos dias faltam com a fórmula =D7-D6.&#10;">
            <a:extLst>
              <a:ext uri="{FF2B5EF4-FFF2-40B4-BE49-F238E27FC236}">
                <a16:creationId xmlns:a16="http://schemas.microsoft.com/office/drawing/2014/main" id="{8949AC7E-881F-4686-B2D3-0D3D90D9B1DC}"/>
              </a:ext>
            </a:extLst>
          </xdr:cNvPr>
          <xdr:cNvGrpSpPr/>
        </xdr:nvGrpSpPr>
        <xdr:grpSpPr>
          <a:xfrm>
            <a:off x="561975" y="2371633"/>
            <a:ext cx="5162550" cy="615253"/>
            <a:chOff x="609600" y="7773488"/>
            <a:chExt cx="4914229" cy="596203"/>
          </a:xfrm>
        </xdr:grpSpPr>
        <xdr:sp macro="" textlink="">
          <xdr:nvSpPr>
            <xdr:cNvPr id="115" name="txt_Passo" descr="Subtrair Datas – introduza o seu próximo aniversário no formato DD/MM/AA na célula D7 e veja como o Excel o informa de quantos dias faltam com a fórmula =D7-D6 na célula D8.&#10;&#10;">
              <a:extLst>
                <a:ext uri="{FF2B5EF4-FFF2-40B4-BE49-F238E27FC236}">
                  <a16:creationId xmlns:a16="http://schemas.microsoft.com/office/drawing/2014/main" id="{674AF6D9-AA9C-4D64-BAE7-B4CD50116B71}"/>
                </a:ext>
              </a:extLst>
            </xdr:cNvPr>
            <xdr:cNvSpPr txBox="1"/>
          </xdr:nvSpPr>
          <xdr:spPr>
            <a:xfrm>
              <a:off x="1017295" y="7815442"/>
              <a:ext cx="450653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Subtrair Datas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Introduza o seu próximo aniversário no formato DD/MM/AA na célula D7 e veja como o Excel o informa de quantos dias faltam com a fórmula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D8.</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Passo" descr="2">
              <a:extLst>
                <a:ext uri="{FF2B5EF4-FFF2-40B4-BE49-F238E27FC236}">
                  <a16:creationId xmlns:a16="http://schemas.microsoft.com/office/drawing/2014/main" id="{E34DF662-0D83-4816-83DC-20F2E0EC0120}"/>
                </a:ext>
              </a:extLst>
            </xdr:cNvPr>
            <xdr:cNvSpPr/>
          </xdr:nvSpPr>
          <xdr:spPr>
            <a:xfrm>
              <a:off x="609600" y="7773488"/>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117" name="grp_Passo">
            <a:extLst>
              <a:ext uri="{FF2B5EF4-FFF2-40B4-BE49-F238E27FC236}">
                <a16:creationId xmlns:a16="http://schemas.microsoft.com/office/drawing/2014/main" id="{8475192F-E42A-4700-8E84-BC6112DACD7C}"/>
              </a:ext>
            </a:extLst>
          </xdr:cNvPr>
          <xdr:cNvGrpSpPr/>
        </xdr:nvGrpSpPr>
        <xdr:grpSpPr>
          <a:xfrm>
            <a:off x="561977" y="3153121"/>
            <a:ext cx="5229223" cy="894728"/>
            <a:chOff x="627640" y="7942086"/>
            <a:chExt cx="4951723" cy="880659"/>
          </a:xfrm>
        </xdr:grpSpPr>
        <xdr:sp macro="" textlink="">
          <xdr:nvSpPr>
            <xdr:cNvPr id="118" name="txt_Passo" descr="Somar Datas – imagine que pretende saber quando é o prazo de pagamento de uma fatura ou quando precisa de devolver um livro à biblioteca. Pode somar dias a uma data para descobrir. Na célula D10, introduza um número de dias aleatório. Na célula D11, somámos as células =D6+D10 para calcular o prazo a partir de hoje.&#10;&#10;">
              <a:extLst>
                <a:ext uri="{FF2B5EF4-FFF2-40B4-BE49-F238E27FC236}">
                  <a16:creationId xmlns:a16="http://schemas.microsoft.com/office/drawing/2014/main" id="{37BB0272-2987-4A11-B2B1-9F0CA7972BC1}"/>
                </a:ext>
              </a:extLst>
            </xdr:cNvPr>
            <xdr:cNvSpPr txBox="1"/>
          </xdr:nvSpPr>
          <xdr:spPr>
            <a:xfrm>
              <a:off x="1017295" y="7984044"/>
              <a:ext cx="4562068" cy="838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Datas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Imagine que pretende saber quando é o prazo de pagamento de uma fatura ou quando precisa de devolver um livro à biblioteca. Pode somar dias a uma data para descobrir. Na célula D10, introduza um número de dias aleatório. Na célula D11, somámos as células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calcular o prazo a partir de hoje.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Passo" descr="3">
              <a:extLst>
                <a:ext uri="{FF2B5EF4-FFF2-40B4-BE49-F238E27FC236}">
                  <a16:creationId xmlns:a16="http://schemas.microsoft.com/office/drawing/2014/main" id="{824C0607-47BE-4C56-BBB4-6FA6522CE93B}"/>
                </a:ext>
              </a:extLst>
            </xdr:cNvPr>
            <xdr:cNvSpPr/>
          </xdr:nvSpPr>
          <xdr:spPr>
            <a:xfrm>
              <a:off x="627640" y="7942086"/>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19</xdr:row>
      <xdr:rowOff>60959</xdr:rowOff>
    </xdr:from>
    <xdr:to>
      <xdr:col>1</xdr:col>
      <xdr:colOff>5238750</xdr:colOff>
      <xdr:row>65</xdr:row>
      <xdr:rowOff>133349</xdr:rowOff>
    </xdr:to>
    <xdr:grpSp>
      <xdr:nvGrpSpPr>
        <xdr:cNvPr id="3" name="Grupo 2">
          <a:extLst>
            <a:ext uri="{FF2B5EF4-FFF2-40B4-BE49-F238E27FC236}">
              <a16:creationId xmlns:a16="http://schemas.microsoft.com/office/drawing/2014/main" id="{1795FAE7-51BD-4A4A-B2DF-46B6749784D2}"/>
            </a:ext>
          </a:extLst>
        </xdr:cNvPr>
        <xdr:cNvGrpSpPr/>
      </xdr:nvGrpSpPr>
      <xdr:grpSpPr>
        <a:xfrm>
          <a:off x="342900" y="4429124"/>
          <a:ext cx="5758815" cy="8452485"/>
          <a:chOff x="342900" y="4248149"/>
          <a:chExt cx="5734050" cy="9137748"/>
        </a:xfrm>
      </xdr:grpSpPr>
      <xdr:grpSp>
        <xdr:nvGrpSpPr>
          <xdr:cNvPr id="120" name="Grupo 119">
            <a:extLst>
              <a:ext uri="{FF2B5EF4-FFF2-40B4-BE49-F238E27FC236}">
                <a16:creationId xmlns:a16="http://schemas.microsoft.com/office/drawing/2014/main" id="{30906B4C-C81D-469A-8247-06F91D944EB2}"/>
              </a:ext>
            </a:extLst>
          </xdr:cNvPr>
          <xdr:cNvGrpSpPr/>
        </xdr:nvGrpSpPr>
        <xdr:grpSpPr>
          <a:xfrm>
            <a:off x="342900" y="4248149"/>
            <a:ext cx="5734050" cy="9137748"/>
            <a:chOff x="352425" y="4591049"/>
            <a:chExt cx="5734050" cy="8761367"/>
          </a:xfrm>
        </xdr:grpSpPr>
        <xdr:sp macro="" textlink="">
          <xdr:nvSpPr>
            <xdr:cNvPr id="121" name="txt_FundoDaApresentação" descr="Fundo">
              <a:extLst>
                <a:ext uri="{FF2B5EF4-FFF2-40B4-BE49-F238E27FC236}">
                  <a16:creationId xmlns:a16="http://schemas.microsoft.com/office/drawing/2014/main" id="{013EE55B-07EC-4D50-A659-7ADD2D0198D2}"/>
                </a:ext>
              </a:extLst>
            </xdr:cNvPr>
            <xdr:cNvSpPr/>
          </xdr:nvSpPr>
          <xdr:spPr>
            <a:xfrm>
              <a:off x="352425" y="4591049"/>
              <a:ext cx="5734050" cy="876136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CabeçalhoDaApresentação" descr="Funções com Hora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com Horas</a:t>
              </a:r>
            </a:p>
          </xdr:txBody>
        </xdr:sp>
        <xdr:cxnSp macro="">
          <xdr:nvCxnSpPr>
            <xdr:cNvPr id="123" name="txt_Linha1DaApresentação" descr="Linha decorativa">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Linha2DaApresentação" descr="Linha decorativa">
              <a:extLst>
                <a:ext uri="{FF2B5EF4-FFF2-40B4-BE49-F238E27FC236}">
                  <a16:creationId xmlns:a16="http://schemas.microsoft.com/office/drawing/2014/main" id="{A703583B-6374-4690-B8BC-8D6A61F4DB52}"/>
                </a:ext>
              </a:extLst>
            </xdr:cNvPr>
            <xdr:cNvCxnSpPr>
              <a:cxnSpLocks/>
            </xdr:cNvCxnSpPr>
          </xdr:nvCxnSpPr>
          <xdr:spPr>
            <a:xfrm>
              <a:off x="589309" y="12721404"/>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IntroduçãoDaApresentação" descr="O Excel pode apresentar-lhe a hora atual, com base nas definições de região do seu computador. Também pode somar e subtrair horas. Por exemplo, poderá querer controlar quantas horas um colaborador trabalhou em cada semana e calcular o respetivo salário e horas extraordinárias.&#10;&#10;">
              <a:extLst>
                <a:ext uri="{FF2B5EF4-FFF2-40B4-BE49-F238E27FC236}">
                  <a16:creationId xmlns:a16="http://schemas.microsoft.com/office/drawing/2014/main" id="{D8BC11B9-1B82-45F8-A69B-BA51910C6977}"/>
                </a:ext>
              </a:extLst>
            </xdr:cNvPr>
            <xdr:cNvSpPr txBox="1"/>
          </xdr:nvSpPr>
          <xdr:spPr>
            <a:xfrm>
              <a:off x="586111" y="5294307"/>
              <a:ext cx="5222183" cy="101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apresentar-lhe a hora atual, com base nas definições de região do seu computador. Também pode somar e subtrair horas. Por exemplo, poderá querer controlar quantas horas um funcionário trabalhou em cada semana e calcular o seu salário e horas extraordinárias.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upo 125">
              <a:extLst>
                <a:ext uri="{FF2B5EF4-FFF2-40B4-BE49-F238E27FC236}">
                  <a16:creationId xmlns:a16="http://schemas.microsoft.com/office/drawing/2014/main" id="{51E7C080-AEB7-4E6C-8D70-3BBDC2303676}"/>
                </a:ext>
              </a:extLst>
            </xdr:cNvPr>
            <xdr:cNvGrpSpPr/>
          </xdr:nvGrpSpPr>
          <xdr:grpSpPr>
            <a:xfrm>
              <a:off x="581025" y="6274429"/>
              <a:ext cx="5206583" cy="6336390"/>
              <a:chOff x="7200900" y="1321429"/>
              <a:chExt cx="5206583" cy="6336390"/>
            </a:xfrm>
          </xdr:grpSpPr>
          <xdr:grpSp>
            <xdr:nvGrpSpPr>
              <xdr:cNvPr id="127" name="grp_Passo">
                <a:extLst>
                  <a:ext uri="{FF2B5EF4-FFF2-40B4-BE49-F238E27FC236}">
                    <a16:creationId xmlns:a16="http://schemas.microsoft.com/office/drawing/2014/main" id="{AAE10329-58E6-4043-B19B-2070B24369C8}"/>
                  </a:ext>
                </a:extLst>
              </xdr:cNvPr>
              <xdr:cNvGrpSpPr/>
            </xdr:nvGrpSpPr>
            <xdr:grpSpPr>
              <a:xfrm>
                <a:off x="7200900" y="1321429"/>
                <a:ext cx="5206583" cy="1068046"/>
                <a:chOff x="495420" y="7988929"/>
                <a:chExt cx="5201275" cy="1068046"/>
              </a:xfrm>
            </xdr:grpSpPr>
            <xdr:sp macro="" textlink="">
              <xdr:nvSpPr>
                <xdr:cNvPr id="149" name="txt_Passo" descr="Na célula D28, introduza =AGORA(), que lhe devolve a hora atual e o resultado será atualizado sempre que o Excel efetuar o cálculo. Se precisar de alterar o formato Hora, pode premir Ctrl+1 e aceder a Número &gt; Hora &gt; selecionar o formato pretendido.&#10;&#10;&#10;&#10;">
                  <a:extLst>
                    <a:ext uri="{FF2B5EF4-FFF2-40B4-BE49-F238E27FC236}">
                      <a16:creationId xmlns:a16="http://schemas.microsoft.com/office/drawing/2014/main" id="{E9EDD045-804A-43D1-9571-BDF7D36C6FD0}"/>
                    </a:ext>
                  </a:extLst>
                </xdr:cNvPr>
                <xdr:cNvSpPr txBox="1"/>
              </xdr:nvSpPr>
              <xdr:spPr>
                <a:xfrm>
                  <a:off x="918156" y="8030887"/>
                  <a:ext cx="4778539" cy="1026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D28,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lhe devolve a hora atual e o resultado será atualizado sempre que o Excel efetuar o cálculo. Se precisar de alterar o formato Hora, pode premir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aceder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selecionar o formato pretendido.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Passo" descr="1">
                  <a:extLst>
                    <a:ext uri="{FF2B5EF4-FFF2-40B4-BE49-F238E27FC236}">
                      <a16:creationId xmlns:a16="http://schemas.microsoft.com/office/drawing/2014/main" id="{43143942-F7A9-4AD3-81E2-7C90A9BD32F5}"/>
                    </a:ext>
                  </a:extLst>
                </xdr:cNvPr>
                <xdr:cNvSpPr/>
              </xdr:nvSpPr>
              <xdr:spPr>
                <a:xfrm>
                  <a:off x="495420" y="7988929"/>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128" name="grp_Passo">
                <a:extLst>
                  <a:ext uri="{FF2B5EF4-FFF2-40B4-BE49-F238E27FC236}">
                    <a16:creationId xmlns:a16="http://schemas.microsoft.com/office/drawing/2014/main" id="{FCFD70FD-C355-4B74-9752-B828C322CD76}"/>
                  </a:ext>
                </a:extLst>
              </xdr:cNvPr>
              <xdr:cNvGrpSpPr/>
            </xdr:nvGrpSpPr>
            <xdr:grpSpPr>
              <a:xfrm>
                <a:off x="7200900" y="2267215"/>
                <a:ext cx="5159775" cy="1249116"/>
                <a:chOff x="525612" y="7824444"/>
                <a:chExt cx="5511381" cy="1195615"/>
              </a:xfrm>
            </xdr:grpSpPr>
            <xdr:sp macro="" textlink="">
              <xdr:nvSpPr>
                <xdr:cNvPr id="147" name="txt_Passo" descr="Somar horas entre horas – na célula D36, introduzimos =((D35-D32)-(D34-D33))*24, que calcula as horas de entrada e de saída de um funcionário e subtrai o tempo de almoço. A parte *24 no fim da fórmula converte a parte fracionária do dia que o Excel analisa em horas. Terá de formatar a célula como um Número. Para fazê-lo, aceda a Base &gt; Formatar &gt; Formatar Células (Ctrl+1) &gt; Número &gt; Número &gt; 2 casas decimais.&#10;&#10;&#10;">
                  <a:extLst>
                    <a:ext uri="{FF2B5EF4-FFF2-40B4-BE49-F238E27FC236}">
                      <a16:creationId xmlns:a16="http://schemas.microsoft.com/office/drawing/2014/main" id="{0EFBDF0F-AC77-476D-A83B-91831148AC0B}"/>
                    </a:ext>
                  </a:extLst>
                </xdr:cNvPr>
                <xdr:cNvSpPr txBox="1"/>
              </xdr:nvSpPr>
              <xdr:spPr>
                <a:xfrm>
                  <a:off x="977615" y="7864390"/>
                  <a:ext cx="5059378" cy="1155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horas entre horas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Na célula D36 introduzimos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calcula as horas de entrada e de saída de um funcionário e subtrai a hora de almoço. A parte *24 no fim da fórmula converte a parte fracionária do dia que o Excel analisa em horas. Terá de formatar a célula como um Número. Para fazê-lo, aceda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Base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Formatar Células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 &gt; Número &gt; Número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casas decimais.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Passo" descr="2">
                  <a:extLst>
                    <a:ext uri="{FF2B5EF4-FFF2-40B4-BE49-F238E27FC236}">
                      <a16:creationId xmlns:a16="http://schemas.microsoft.com/office/drawing/2014/main" id="{01C2BD5A-43C6-4B2A-81C9-44F9293E1619}"/>
                    </a:ext>
                  </a:extLst>
                </xdr:cNvPr>
                <xdr:cNvSpPr/>
              </xdr:nvSpPr>
              <xdr:spPr>
                <a:xfrm>
                  <a:off x="525612" y="7824444"/>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129" name="grp_Passo">
                <a:extLst>
                  <a:ext uri="{FF2B5EF4-FFF2-40B4-BE49-F238E27FC236}">
                    <a16:creationId xmlns:a16="http://schemas.microsoft.com/office/drawing/2014/main" id="{37BDA65B-35DA-46DF-B41B-4F13939916CE}"/>
                  </a:ext>
                </a:extLst>
              </xdr:cNvPr>
              <xdr:cNvGrpSpPr/>
            </xdr:nvGrpSpPr>
            <xdr:grpSpPr>
              <a:xfrm>
                <a:off x="7200900" y="3580111"/>
                <a:ext cx="5159775" cy="1025534"/>
                <a:chOff x="525612" y="7824444"/>
                <a:chExt cx="5511381" cy="981609"/>
              </a:xfrm>
            </xdr:grpSpPr>
            <xdr:sp macro="" textlink="">
              <xdr:nvSpPr>
                <xdr:cNvPr id="145" name="txt_Passo" descr="Se esta fórmula falasse, diria &quot;Subtrair a Hora de Saída pela Hora de Entrada e, em seguida, subtrair a Saída para Almoço da Chegada do Almoço. Multiplicar os valores por 24 para converter o valor de tempo fracionário do Excel em horas&quot;, ou seja, =((Hora de Saída - Hora de Entrada)-(Chegada do Almoço - Saída para Almoço))*24.">
                  <a:extLst>
                    <a:ext uri="{FF2B5EF4-FFF2-40B4-BE49-F238E27FC236}">
                      <a16:creationId xmlns:a16="http://schemas.microsoft.com/office/drawing/2014/main" id="{48EA3D5E-AB73-4DC6-A8F8-8EECF1D29572}"/>
                    </a:ext>
                  </a:extLst>
                </xdr:cNvPr>
                <xdr:cNvSpPr txBox="1"/>
              </xdr:nvSpPr>
              <xdr:spPr>
                <a:xfrm>
                  <a:off x="977615" y="7864390"/>
                  <a:ext cx="5059378" cy="94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esta fórmula falasse, diria "Subtrair a Hora de Saída pela Hora de Entrada e, em seguida, subtrair a Saída para Almoço da Chegada do Almoço. Multiplicar os valores por 24 para converter o valor de tempo fracionário do Excel em horas", ou seja,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 de Saída - Hora de Entrada)-(</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Saída para Almoço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Chegada do Almoço</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Passo" descr="3">
                  <a:extLst>
                    <a:ext uri="{FF2B5EF4-FFF2-40B4-BE49-F238E27FC236}">
                      <a16:creationId xmlns:a16="http://schemas.microsoft.com/office/drawing/2014/main" id="{A80445FC-915C-4C80-84C7-4F5844E68106}"/>
                    </a:ext>
                  </a:extLst>
                </xdr:cNvPr>
                <xdr:cNvSpPr/>
              </xdr:nvSpPr>
              <xdr:spPr>
                <a:xfrm>
                  <a:off x="525612" y="7824444"/>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nvGrpSpPr>
              <xdr:cNvPr id="130" name="Grupo 129">
                <a:extLst>
                  <a:ext uri="{FF2B5EF4-FFF2-40B4-BE49-F238E27FC236}">
                    <a16:creationId xmlns:a16="http://schemas.microsoft.com/office/drawing/2014/main" id="{DF713144-AD4F-445E-9EBF-373B4699DB59}"/>
                  </a:ext>
                </a:extLst>
              </xdr:cNvPr>
              <xdr:cNvGrpSpPr/>
            </xdr:nvGrpSpPr>
            <xdr:grpSpPr>
              <a:xfrm>
                <a:off x="7743824" y="4686020"/>
                <a:ext cx="4486279" cy="2971799"/>
                <a:chOff x="7655496" y="4697929"/>
                <a:chExt cx="4775049" cy="2819576"/>
              </a:xfrm>
            </xdr:grpSpPr>
            <xdr:sp macro="" textlink="">
              <xdr:nvSpPr>
                <xdr:cNvPr id="131" name="ChavetaDaFórmulaInferior">
                  <a:extLst>
                    <a:ext uri="{FF2B5EF4-FFF2-40B4-BE49-F238E27FC236}">
                      <a16:creationId xmlns:a16="http://schemas.microsoft.com/office/drawing/2014/main" id="{A3F3B087-00D2-476D-AC4C-EB3A04318A49}"/>
                    </a:ext>
                  </a:extLst>
                </xdr:cNvPr>
                <xdr:cNvSpPr/>
              </xdr:nvSpPr>
              <xdr:spPr>
                <a:xfrm rot="16200000">
                  <a:off x="8913239" y="5747112"/>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2" name="ChavetaDaFórmulaSuperior">
                  <a:extLst>
                    <a:ext uri="{FF2B5EF4-FFF2-40B4-BE49-F238E27FC236}">
                      <a16:creationId xmlns:a16="http://schemas.microsoft.com/office/drawing/2014/main" id="{7C65B1CB-F7F0-4F37-A997-175F5CFFD7C0}"/>
                    </a:ext>
                  </a:extLst>
                </xdr:cNvPr>
                <xdr:cNvSpPr/>
              </xdr:nvSpPr>
              <xdr:spPr>
                <a:xfrm rot="5400000">
                  <a:off x="11358055" y="5142374"/>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3" name="ChavetaDaFórmulaSuperior">
                  <a:extLst>
                    <a:ext uri="{FF2B5EF4-FFF2-40B4-BE49-F238E27FC236}">
                      <a16:creationId xmlns:a16="http://schemas.microsoft.com/office/drawing/2014/main" id="{CF6D3514-478A-4DBA-A8E4-F612350013B5}"/>
                    </a:ext>
                  </a:extLst>
                </xdr:cNvPr>
                <xdr:cNvSpPr/>
              </xdr:nvSpPr>
              <xdr:spPr>
                <a:xfrm rot="5400000">
                  <a:off x="8247253" y="5129359"/>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4" name="txt_Fórmula" descr="=((D35-D32)-(D34-D33))*24&#10;">
                  <a:extLst>
                    <a:ext uri="{FF2B5EF4-FFF2-40B4-BE49-F238E27FC236}">
                      <a16:creationId xmlns:a16="http://schemas.microsoft.com/office/drawing/2014/main" id="{6009CED5-1433-4E1F-B008-D29EAE95FC7A}"/>
                    </a:ext>
                  </a:extLst>
                </xdr:cNvPr>
                <xdr:cNvSpPr txBox="1"/>
              </xdr:nvSpPr>
              <xdr:spPr>
                <a:xfrm>
                  <a:off x="7777163" y="5536731"/>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Courier New" panose="02070309020205020404" pitchFamily="49" charset="0"/>
                    <a:ea typeface="Times New Roman" panose="02020603050405020304" pitchFamily="18" charset="0"/>
                  </a:endParaRPr>
                </a:p>
              </xdr:txBody>
            </xdr:sp>
            <xdr:sp macro="" textlink="">
              <xdr:nvSpPr>
                <xdr:cNvPr id="135" name="txt_BalãoDaFórmulaSuperior" descr="Hora de Saída&#10;&#10;">
                  <a:extLst>
                    <a:ext uri="{FF2B5EF4-FFF2-40B4-BE49-F238E27FC236}">
                      <a16:creationId xmlns:a16="http://schemas.microsoft.com/office/drawing/2014/main" id="{9F9E3A72-C781-4703-B4D3-DB7F87F8E5A1}"/>
                    </a:ext>
                  </a:extLst>
                </xdr:cNvPr>
                <xdr:cNvSpPr txBox="1">
                  <a:spLocks noChangeArrowheads="1"/>
                </xdr:cNvSpPr>
              </xdr:nvSpPr>
              <xdr:spPr bwMode="auto">
                <a:xfrm>
                  <a:off x="7939364" y="4989045"/>
                  <a:ext cx="1094920"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Hora de Saída</a:t>
                  </a:r>
                </a:p>
              </xdr:txBody>
            </xdr:sp>
            <xdr:sp macro="" textlink="">
              <xdr:nvSpPr>
                <xdr:cNvPr id="136" name="txt_BalãoDaFórmulaSuperior" descr="*24 para converter o valor fracionário de um dia do Excel em hora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697929"/>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*24 para converter o valor fracionário de um dia do Excel em horas</a:t>
                  </a:r>
                </a:p>
              </xdr:txBody>
            </xdr:sp>
            <xdr:sp macro="" textlink="">
              <xdr:nvSpPr>
                <xdr:cNvPr id="137" name="txt_BalãoDaFórmulaInferior" descr="Hora de Entrada&#10;">
                  <a:extLst>
                    <a:ext uri="{FF2B5EF4-FFF2-40B4-BE49-F238E27FC236}">
                      <a16:creationId xmlns:a16="http://schemas.microsoft.com/office/drawing/2014/main" id="{5E5338FF-C2B1-4DA0-AE11-AC6DC9A18383}"/>
                    </a:ext>
                  </a:extLst>
                </xdr:cNvPr>
                <xdr:cNvSpPr txBox="1">
                  <a:spLocks noChangeArrowheads="1"/>
                </xdr:cNvSpPr>
              </xdr:nvSpPr>
              <xdr:spPr bwMode="auto">
                <a:xfrm>
                  <a:off x="8558543" y="6097835"/>
                  <a:ext cx="1225954"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Hora de Entrada</a:t>
                  </a:r>
                </a:p>
              </xdr:txBody>
            </xdr:sp>
            <xdr:sp macro="" textlink="">
              <xdr:nvSpPr>
                <xdr:cNvPr id="138" name="ChavetaDaFórmulaInferior">
                  <a:extLst>
                    <a:ext uri="{FF2B5EF4-FFF2-40B4-BE49-F238E27FC236}">
                      <a16:creationId xmlns:a16="http://schemas.microsoft.com/office/drawing/2014/main" id="{A4A9F5A5-EF16-4EE5-91AA-7223F0B363A9}"/>
                    </a:ext>
                  </a:extLst>
                </xdr:cNvPr>
                <xdr:cNvSpPr/>
              </xdr:nvSpPr>
              <xdr:spPr>
                <a:xfrm rot="16200000">
                  <a:off x="10541562" y="5761385"/>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9" name="ChavetaDaFórmulaSuperior">
                  <a:extLst>
                    <a:ext uri="{FF2B5EF4-FFF2-40B4-BE49-F238E27FC236}">
                      <a16:creationId xmlns:a16="http://schemas.microsoft.com/office/drawing/2014/main" id="{E9FAA5E1-CE6E-4068-9309-7BEC7468CAD9}"/>
                    </a:ext>
                  </a:extLst>
                </xdr:cNvPr>
                <xdr:cNvSpPr/>
              </xdr:nvSpPr>
              <xdr:spPr>
                <a:xfrm rot="5400000">
                  <a:off x="9870148" y="5143633"/>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BalãoDaFórmulaSuperio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297869" y="5003318"/>
                  <a:ext cx="1342887"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PT" sz="1100">
                      <a:effectLst/>
                      <a:latin typeface="+mn-lt"/>
                      <a:ea typeface="+mn-ea"/>
                      <a:cs typeface="+mn-cs"/>
                    </a:rPr>
                    <a:t>Saída para Almoço</a:t>
                  </a:r>
                  <a:endParaRPr lang="pt-PT">
                    <a:effectLst/>
                  </a:endParaRPr>
                </a:p>
              </xdr:txBody>
            </xdr:sp>
            <xdr:sp macro="" textlink="">
              <xdr:nvSpPr>
                <xdr:cNvPr id="141" name="txt_BalãoDaFórmulaInferior" descr="Chegada do Almoço&#10;&#10;">
                  <a:extLst>
                    <a:ext uri="{FF2B5EF4-FFF2-40B4-BE49-F238E27FC236}">
                      <a16:creationId xmlns:a16="http://schemas.microsoft.com/office/drawing/2014/main" id="{B855D0A5-2977-4D62-AD0B-843A0716AFBA}"/>
                    </a:ext>
                  </a:extLst>
                </xdr:cNvPr>
                <xdr:cNvSpPr txBox="1">
                  <a:spLocks noChangeArrowheads="1"/>
                </xdr:cNvSpPr>
              </xdr:nvSpPr>
              <xdr:spPr bwMode="auto">
                <a:xfrm>
                  <a:off x="10073772" y="6112121"/>
                  <a:ext cx="1424065"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Chegada do Almoço</a:t>
                  </a:r>
                  <a:endParaRPr lang="pt-pt"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2" name="ChavetaDaFórmulaInferior">
                  <a:extLst>
                    <a:ext uri="{FF2B5EF4-FFF2-40B4-BE49-F238E27FC236}">
                      <a16:creationId xmlns:a16="http://schemas.microsoft.com/office/drawing/2014/main" id="{5250274B-2899-460D-B59C-3A1662F7E28C}"/>
                    </a:ext>
                  </a:extLst>
                </xdr:cNvPr>
                <xdr:cNvSpPr/>
              </xdr:nvSpPr>
              <xdr:spPr>
                <a:xfrm rot="16200000">
                  <a:off x="8659276" y="6161543"/>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3" name="ChavetaDaFórmulaInferior">
                  <a:extLst>
                    <a:ext uri="{FF2B5EF4-FFF2-40B4-BE49-F238E27FC236}">
                      <a16:creationId xmlns:a16="http://schemas.microsoft.com/office/drawing/2014/main" id="{1D36D39A-C164-4F79-A807-42C3A0A9EA22}"/>
                    </a:ext>
                  </a:extLst>
                </xdr:cNvPr>
                <xdr:cNvSpPr/>
              </xdr:nvSpPr>
              <xdr:spPr>
                <a:xfrm rot="16200000">
                  <a:off x="10208905" y="6156781"/>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4" name="txt_BalãoDaFórmulaInferio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655496" y="6927380"/>
                  <a:ext cx="4488879"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Os parênteses interiores garantem que o Excel calcula essas partes da fórmula separadamente. Os parênteses exteriores garantem que o Excel multiplica</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o resultado final do cálculo interior por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BotãoAnterior" descr="Regressar à folha anterior">
            <a:hlinkClick xmlns:r="http://schemas.openxmlformats.org/officeDocument/2006/relationships" r:id="rId3" tooltip="Clique aqui para voltar à folha anterior"/>
            <a:extLst>
              <a:ext uri="{FF2B5EF4-FFF2-40B4-BE49-F238E27FC236}">
                <a16:creationId xmlns:a16="http://schemas.microsoft.com/office/drawing/2014/main" id="{FCEE4E56-0B89-4F5D-A0A7-90EECC03D116}"/>
              </a:ext>
            </a:extLst>
          </xdr:cNvPr>
          <xdr:cNvSpPr/>
        </xdr:nvSpPr>
        <xdr:spPr>
          <a:xfrm flipH="1">
            <a:off x="609600" y="1287838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sp macro="" textlink="">
        <xdr:nvSpPr>
          <xdr:cNvPr id="152" name="BotãoSeguinte" descr="Avançar para a folha seguinte">
            <a:hlinkClick xmlns:r="http://schemas.openxmlformats.org/officeDocument/2006/relationships" r:id="rId4" tooltip="Clique aqui para avançar para a folha seguinte"/>
            <a:extLst>
              <a:ext uri="{FF2B5EF4-FFF2-40B4-BE49-F238E27FC236}">
                <a16:creationId xmlns:a16="http://schemas.microsoft.com/office/drawing/2014/main" id="{892C894D-1A63-4276-98DF-57872191F092}"/>
              </a:ext>
            </a:extLst>
          </xdr:cNvPr>
          <xdr:cNvSpPr/>
        </xdr:nvSpPr>
        <xdr:spPr>
          <a:xfrm>
            <a:off x="4532361" y="1287838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grpSp>
    <xdr:clientData/>
  </xdr:twoCellAnchor>
  <xdr:twoCellAnchor editAs="absolute">
    <xdr:from>
      <xdr:col>1</xdr:col>
      <xdr:colOff>5486400</xdr:colOff>
      <xdr:row>47</xdr:row>
      <xdr:rowOff>112434</xdr:rowOff>
    </xdr:from>
    <xdr:to>
      <xdr:col>4</xdr:col>
      <xdr:colOff>15240</xdr:colOff>
      <xdr:row>57</xdr:row>
      <xdr:rowOff>20959</xdr:rowOff>
    </xdr:to>
    <xdr:grpSp>
      <xdr:nvGrpSpPr>
        <xdr:cNvPr id="153" name="Grupo 152">
          <a:extLst>
            <a:ext uri="{FF2B5EF4-FFF2-40B4-BE49-F238E27FC236}">
              <a16:creationId xmlns:a16="http://schemas.microsoft.com/office/drawing/2014/main" id="{5099300F-1CF9-4951-9904-72E39FABE751}"/>
            </a:ext>
          </a:extLst>
        </xdr:cNvPr>
        <xdr:cNvGrpSpPr/>
      </xdr:nvGrpSpPr>
      <xdr:grpSpPr>
        <a:xfrm>
          <a:off x="6353175" y="9599334"/>
          <a:ext cx="3448050" cy="1714465"/>
          <a:chOff x="6391275" y="8326902"/>
          <a:chExt cx="3190875" cy="1645773"/>
        </a:xfrm>
      </xdr:grpSpPr>
      <xdr:sp macro="" textlink="">
        <xdr:nvSpPr>
          <xdr:cNvPr id="154" name="Passo"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Pode utilizar atalhos de teclado para introduzir Datas e Horas que não são alteradas:</a:t>
            </a:r>
          </a:p>
          <a:p>
            <a:pPr algn="ctr" rtl="0" eaLnBrk="1" fontAlgn="auto" latinLnBrk="0" hangingPunct="1"/>
            <a:endParaRPr lang="en-US" sz="1100" b="0" i="0" kern="1200" baseline="0">
              <a:solidFill>
                <a:schemeClr val="dk1"/>
              </a:solidFill>
              <a:effectLst/>
              <a:latin typeface="+mn-lt"/>
              <a:ea typeface="+mn-ea"/>
              <a:cs typeface="+mn-cs"/>
            </a:endParaRPr>
          </a:p>
          <a:p>
            <a:pPr algn="ctr" rtl="0" eaLnBrk="1" fontAlgn="auto" latinLnBrk="0" hangingPunct="1"/>
            <a:r>
              <a:rPr lang="pt-pt" sz="1100" b="0" i="0" kern="1200" baseline="0">
                <a:solidFill>
                  <a:schemeClr val="dk1"/>
                </a:solidFill>
                <a:effectLst/>
                <a:latin typeface="+mn-lt"/>
                <a:ea typeface="+mn-ea"/>
                <a:cs typeface="+mn-cs"/>
              </a:rPr>
              <a:t>Data – </a:t>
            </a:r>
            <a:r>
              <a:rPr lang="pt-pt" sz="1100" b="1" i="0" kern="1200" baseline="0">
                <a:solidFill>
                  <a:schemeClr val="dk1"/>
                </a:solidFill>
                <a:effectLst/>
                <a:latin typeface="+mn-lt"/>
                <a:ea typeface="+mn-ea"/>
                <a:cs typeface="+mn-cs"/>
              </a:rPr>
              <a:t>Ctrl+Shift+;</a:t>
            </a:r>
            <a:r>
              <a:rPr lang="pt-pt" sz="1100" b="0" i="0" kern="1200" baseline="0">
                <a:solidFill>
                  <a:schemeClr val="dk1"/>
                </a:solidFill>
                <a:effectLst/>
                <a:latin typeface="+mn-lt"/>
                <a:ea typeface="+mn-ea"/>
                <a:cs typeface="+mn-cs"/>
              </a:rPr>
              <a:t> </a:t>
            </a:r>
          </a:p>
          <a:p>
            <a:pPr algn="ctr" rtl="0" eaLnBrk="1" fontAlgn="auto" latinLnBrk="0" hangingPunct="1"/>
            <a:r>
              <a:rPr lang="pt-pt" sz="1100" b="0" i="0" kern="1200" baseline="0">
                <a:solidFill>
                  <a:schemeClr val="dk1"/>
                </a:solidFill>
                <a:effectLst/>
                <a:latin typeface="+mn-lt"/>
                <a:ea typeface="+mn-ea"/>
                <a:cs typeface="+mn-cs"/>
              </a:rPr>
              <a:t>Hora – </a:t>
            </a:r>
            <a:r>
              <a:rPr lang="pt-pt"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áfico 147" descr="Óculo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orma livre: forma 155" descr="Seta">
            <a:extLst>
              <a:ext uri="{FF2B5EF4-FFF2-40B4-BE49-F238E27FC236}">
                <a16:creationId xmlns:a16="http://schemas.microsoft.com/office/drawing/2014/main" id="{DC28982F-2938-4FB2-83AE-57CF7D95EFD2}"/>
              </a:ext>
            </a:extLst>
          </xdr:cNvPr>
          <xdr:cNvSpPr/>
        </xdr:nvSpPr>
        <xdr:spPr>
          <a:xfrm rot="5737631" flipV="1">
            <a:off x="8357286" y="8075966"/>
            <a:ext cx="544253" cy="1046126"/>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66</xdr:row>
      <xdr:rowOff>59055</xdr:rowOff>
    </xdr:from>
    <xdr:to>
      <xdr:col>1</xdr:col>
      <xdr:colOff>5236083</xdr:colOff>
      <xdr:row>80</xdr:row>
      <xdr:rowOff>97155</xdr:rowOff>
    </xdr:to>
    <xdr:grpSp>
      <xdr:nvGrpSpPr>
        <xdr:cNvPr id="157" name="Grupo 156">
          <a:extLst>
            <a:ext uri="{FF2B5EF4-FFF2-40B4-BE49-F238E27FC236}">
              <a16:creationId xmlns:a16="http://schemas.microsoft.com/office/drawing/2014/main" id="{BBCBE502-8234-4D4A-9B27-5CABDDC8BAC3}"/>
            </a:ext>
          </a:extLst>
        </xdr:cNvPr>
        <xdr:cNvGrpSpPr/>
      </xdr:nvGrpSpPr>
      <xdr:grpSpPr>
        <a:xfrm>
          <a:off x="342900" y="12980670"/>
          <a:ext cx="5763768" cy="2571750"/>
          <a:chOff x="352425" y="12715875"/>
          <a:chExt cx="5733288" cy="2476500"/>
        </a:xfrm>
      </xdr:grpSpPr>
      <xdr:sp macro="" textlink="">
        <xdr:nvSpPr>
          <xdr:cNvPr id="158" name="Retângulo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9" name="Passo" descr="Mais informações na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Conexão Reta 159" descr="Linha decorativa">
            <a:extLst>
              <a:ext uri="{FF2B5EF4-FFF2-40B4-BE49-F238E27FC236}">
                <a16:creationId xmlns:a16="http://schemas.microsoft.com/office/drawing/2014/main" id="{52A9E11F-836A-48CD-A0B1-5196D5B7FDEF}"/>
              </a:ext>
            </a:extLst>
          </xdr:cNvPr>
          <xdr:cNvCxnSpPr>
            <a:cxnSpLocks/>
          </xdr:cNvCxnSpPr>
        </xdr:nvCxnSpPr>
        <xdr:spPr>
          <a:xfrm>
            <a:off x="564965" y="13275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Conexão Reta 160" descr="Linha decorativa">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70</xdr:row>
      <xdr:rowOff>58504</xdr:rowOff>
    </xdr:from>
    <xdr:to>
      <xdr:col>1</xdr:col>
      <xdr:colOff>2590800</xdr:colOff>
      <xdr:row>72</xdr:row>
      <xdr:rowOff>19438</xdr:rowOff>
    </xdr:to>
    <xdr:grpSp>
      <xdr:nvGrpSpPr>
        <xdr:cNvPr id="14" name="Grupo 13">
          <a:extLst>
            <a:ext uri="{FF2B5EF4-FFF2-40B4-BE49-F238E27FC236}">
              <a16:creationId xmlns:a16="http://schemas.microsoft.com/office/drawing/2014/main" id="{C4A695FE-F3AB-4030-A0F4-F10322DAD2D7}"/>
            </a:ext>
          </a:extLst>
        </xdr:cNvPr>
        <xdr:cNvGrpSpPr/>
      </xdr:nvGrpSpPr>
      <xdr:grpSpPr>
        <a:xfrm>
          <a:off x="571931" y="13704019"/>
          <a:ext cx="2885644" cy="322884"/>
          <a:chOff x="571931" y="13599244"/>
          <a:chExt cx="2866594" cy="359079"/>
        </a:xfrm>
      </xdr:grpSpPr>
      <xdr:sp macro="" textlink="">
        <xdr:nvSpPr>
          <xdr:cNvPr id="162" name="Passo" descr="Tudo sobre a função HOJE, com hiperligação para a Web&#10;&#10;">
            <a:hlinkClick xmlns:r="http://schemas.openxmlformats.org/officeDocument/2006/relationships" r:id="rId5" tooltip="Selecione para aceder à Web e saber tudo sobre a função HOJE"/>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HOJE</a:t>
            </a:r>
          </a:p>
        </xdr:txBody>
      </xdr:sp>
      <xdr:pic>
        <xdr:nvPicPr>
          <xdr:cNvPr id="163"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72</xdr:row>
      <xdr:rowOff>79716</xdr:rowOff>
    </xdr:from>
    <xdr:to>
      <xdr:col>1</xdr:col>
      <xdr:colOff>2611755</xdr:colOff>
      <xdr:row>74</xdr:row>
      <xdr:rowOff>59295</xdr:rowOff>
    </xdr:to>
    <xdr:grpSp>
      <xdr:nvGrpSpPr>
        <xdr:cNvPr id="13" name="Grupo 12">
          <a:extLst>
            <a:ext uri="{FF2B5EF4-FFF2-40B4-BE49-F238E27FC236}">
              <a16:creationId xmlns:a16="http://schemas.microsoft.com/office/drawing/2014/main" id="{E793ECE4-F54A-4632-BABB-CDB76236E886}"/>
            </a:ext>
          </a:extLst>
        </xdr:cNvPr>
        <xdr:cNvGrpSpPr/>
      </xdr:nvGrpSpPr>
      <xdr:grpSpPr>
        <a:xfrm>
          <a:off x="571931" y="14090991"/>
          <a:ext cx="2902789" cy="337719"/>
          <a:chOff x="571931" y="14014791"/>
          <a:chExt cx="2895169" cy="364389"/>
        </a:xfrm>
      </xdr:grpSpPr>
      <xdr:sp macro="" textlink="">
        <xdr:nvSpPr>
          <xdr:cNvPr id="164" name="Passo" descr="Tudo sobre a função AGORA, com hiperligação para a Web&#10;">
            <a:hlinkClick xmlns:r="http://schemas.openxmlformats.org/officeDocument/2006/relationships" r:id="rId8" tooltip="Selecione para aceder à Web e saber tudo sobre a função AGORA"/>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a:t>
            </a:r>
          </a:p>
        </xdr:txBody>
      </xdr:sp>
      <xdr:pic>
        <xdr:nvPicPr>
          <xdr:cNvPr id="165"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588350</xdr:colOff>
      <xdr:row>77</xdr:row>
      <xdr:rowOff>3478</xdr:rowOff>
    </xdr:from>
    <xdr:to>
      <xdr:col>1</xdr:col>
      <xdr:colOff>2726055</xdr:colOff>
      <xdr:row>78</xdr:row>
      <xdr:rowOff>173557</xdr:rowOff>
    </xdr:to>
    <xdr:grpSp>
      <xdr:nvGrpSpPr>
        <xdr:cNvPr id="9" name="Grupo 8">
          <a:extLst>
            <a:ext uri="{FF2B5EF4-FFF2-40B4-BE49-F238E27FC236}">
              <a16:creationId xmlns:a16="http://schemas.microsoft.com/office/drawing/2014/main" id="{659E6730-AC76-4CC7-A823-D2C618696DAA}"/>
            </a:ext>
          </a:extLst>
        </xdr:cNvPr>
        <xdr:cNvGrpSpPr/>
      </xdr:nvGrpSpPr>
      <xdr:grpSpPr>
        <a:xfrm>
          <a:off x="592160" y="14919628"/>
          <a:ext cx="2996860" cy="347244"/>
          <a:chOff x="584540" y="14891053"/>
          <a:chExt cx="2996860" cy="364389"/>
        </a:xfrm>
      </xdr:grpSpPr>
      <xdr:sp macro="" textlink="">
        <xdr:nvSpPr>
          <xdr:cNvPr id="166" name="Passo" descr="Formação online gratuita do Excel, com hiperligação para a Web&#10;">
            <a:hlinkClick xmlns:r="http://schemas.openxmlformats.org/officeDocument/2006/relationships" r:id="rId9" tooltip="Selecione para aceder à Web e saber tudo sobre a formação online gratuita do Excel"/>
            <a:extLst>
              <a:ext uri="{FF2B5EF4-FFF2-40B4-BE49-F238E27FC236}">
                <a16:creationId xmlns:a16="http://schemas.microsoft.com/office/drawing/2014/main" id="{3AA6BF12-05BC-4A54-8192-040964AEB7FE}"/>
              </a:ext>
            </a:extLst>
          </xdr:cNvPr>
          <xdr:cNvSpPr txBox="1"/>
        </xdr:nvSpPr>
        <xdr:spPr>
          <a:xfrm>
            <a:off x="1049724" y="14913582"/>
            <a:ext cx="253167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67"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590981</xdr:colOff>
      <xdr:row>74</xdr:row>
      <xdr:rowOff>131003</xdr:rowOff>
    </xdr:from>
    <xdr:to>
      <xdr:col>1</xdr:col>
      <xdr:colOff>2628900</xdr:colOff>
      <xdr:row>76</xdr:row>
      <xdr:rowOff>93437</xdr:rowOff>
    </xdr:to>
    <xdr:grpSp>
      <xdr:nvGrpSpPr>
        <xdr:cNvPr id="12" name="Grupo 11">
          <a:extLst>
            <a:ext uri="{FF2B5EF4-FFF2-40B4-BE49-F238E27FC236}">
              <a16:creationId xmlns:a16="http://schemas.microsoft.com/office/drawing/2014/main" id="{FF28E0D6-012A-4FA6-9D67-C8B77A5CC9E6}"/>
            </a:ext>
          </a:extLst>
        </xdr:cNvPr>
        <xdr:cNvGrpSpPr/>
      </xdr:nvGrpSpPr>
      <xdr:grpSpPr>
        <a:xfrm>
          <a:off x="587171" y="14508038"/>
          <a:ext cx="2908504" cy="324384"/>
          <a:chOff x="581456" y="14435648"/>
          <a:chExt cx="2895169" cy="364389"/>
        </a:xfrm>
      </xdr:grpSpPr>
      <xdr:sp macro="" textlink="">
        <xdr:nvSpPr>
          <xdr:cNvPr id="168" name="Passo" descr="Tudo sobre a função DATA, com hiperligação para a Web&#10;">
            <a:hlinkClick xmlns:r="http://schemas.openxmlformats.org/officeDocument/2006/relationships" r:id="rId10" tooltip="Selecione para aceder à Web e saber tudo sobre a função DATA"/>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p>
        </xdr:txBody>
      </xdr:sp>
      <xdr:pic>
        <xdr:nvPicPr>
          <xdr:cNvPr id="169"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41109</xdr:colOff>
      <xdr:row>6</xdr:row>
      <xdr:rowOff>133689</xdr:rowOff>
    </xdr:from>
    <xdr:to>
      <xdr:col>10</xdr:col>
      <xdr:colOff>250644</xdr:colOff>
      <xdr:row>13</xdr:row>
      <xdr:rowOff>133983</xdr:rowOff>
    </xdr:to>
    <xdr:grpSp>
      <xdr:nvGrpSpPr>
        <xdr:cNvPr id="78" name="DETALHE IMPORTANTE" descr="DETALHE IMPORTANTE&#10;&#10;">
          <a:extLst>
            <a:ext uri="{FF2B5EF4-FFF2-40B4-BE49-F238E27FC236}">
              <a16:creationId xmlns:a16="http://schemas.microsoft.com/office/drawing/2014/main" id="{F03EFBCA-CF45-46A3-8D0C-6B4DC1C4CC33}"/>
            </a:ext>
          </a:extLst>
        </xdr:cNvPr>
        <xdr:cNvGrpSpPr/>
      </xdr:nvGrpSpPr>
      <xdr:grpSpPr>
        <a:xfrm>
          <a:off x="9823284" y="2053929"/>
          <a:ext cx="4110975" cy="1362369"/>
          <a:chOff x="6396316" y="11324814"/>
          <a:chExt cx="4272245" cy="1343436"/>
        </a:xfrm>
      </xdr:grpSpPr>
      <xdr:sp macro="" textlink="">
        <xdr:nvSpPr>
          <xdr:cNvPr id="79" name="Instrução"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594661"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p>
          <a:p>
            <a:pPr rtl="0" eaLnBrk="1" fontAlgn="auto" latinLnBrk="0" hangingPunct="1"/>
            <a:r>
              <a:rPr lang="pt-pt" sz="1100" b="0" i="0" kern="1200" baseline="0">
                <a:solidFill>
                  <a:schemeClr val="dk1"/>
                </a:solidFill>
                <a:effectLst/>
                <a:latin typeface="+mn-lt"/>
                <a:ea typeface="+mn-ea"/>
                <a:cs typeface="+mn-cs"/>
              </a:rPr>
              <a:t>Se não quiser que o Excel apresente um número negativo por ainda não ter introduzido o seu dia de aniversário, pode utilizar a função SE da seguinte maneira: </a:t>
            </a:r>
            <a:r>
              <a:rPr lang="pt-pt" sz="1100" b="1" i="0" kern="1200" baseline="0">
                <a:solidFill>
                  <a:schemeClr val="dk1"/>
                </a:solidFill>
                <a:effectLst/>
                <a:latin typeface="+mn-lt"/>
                <a:ea typeface="+mn-ea"/>
                <a:cs typeface="+mn-cs"/>
              </a:rPr>
              <a:t>=SE(D7="";"";D7-D6)</a:t>
            </a:r>
            <a:r>
              <a:rPr lang="pt-pt" sz="1100" b="0" i="0" kern="1200" baseline="0">
                <a:solidFill>
                  <a:schemeClr val="dk1"/>
                </a:solidFill>
                <a:effectLst/>
                <a:latin typeface="+mn-lt"/>
                <a:ea typeface="+mn-ea"/>
                <a:cs typeface="+mn-cs"/>
              </a:rPr>
              <a:t>, que diz: "SE D7 for igual a nada, então deixar a célula vazia, caso contrário mostrar o resultado da subtração da célula D7 pela célula D6".</a:t>
            </a:r>
            <a:endParaRPr lang="en-US" sz="1100">
              <a:effectLst/>
            </a:endParaRPr>
          </a:p>
        </xdr:txBody>
      </xdr:sp>
      <xdr:pic>
        <xdr:nvPicPr>
          <xdr:cNvPr id="80" name="Lupa" descr="Lupa">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Seta" descr="Seta">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oneCellAnchor>
    <xdr:from>
      <xdr:col>5</xdr:col>
      <xdr:colOff>0</xdr:colOff>
      <xdr:row>25</xdr:row>
      <xdr:rowOff>9525</xdr:rowOff>
    </xdr:from>
    <xdr:ext cx="3217545" cy="3489866"/>
    <xdr:sp macro="" textlink="">
      <xdr:nvSpPr>
        <xdr:cNvPr id="4" name="CaixaDeTexto 3">
          <a:extLst>
            <a:ext uri="{FF2B5EF4-FFF2-40B4-BE49-F238E27FC236}">
              <a16:creationId xmlns:a16="http://schemas.microsoft.com/office/drawing/2014/main" id="{C3E5BC5A-6532-49DC-A60B-73FECA262018}"/>
            </a:ext>
          </a:extLst>
        </xdr:cNvPr>
        <xdr:cNvSpPr txBox="1"/>
      </xdr:nvSpPr>
      <xdr:spPr>
        <a:xfrm>
          <a:off x="10391775" y="5476875"/>
          <a:ext cx="3217545" cy="3489866"/>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PT" b="1"/>
            <a:t>1️⃣ Extrair o Dia, Mês e Ano de uma Data</a:t>
          </a:r>
        </a:p>
        <a:p>
          <a:r>
            <a:rPr lang="pt-PT"/>
            <a:t>Se tens uma </a:t>
          </a:r>
          <a:r>
            <a:rPr lang="pt-PT" b="1"/>
            <a:t>data completa</a:t>
          </a:r>
          <a:r>
            <a:rPr lang="pt-PT"/>
            <a:t> numa célula (exemplo: 01/03/2024 em A1), podes utilizar as seguintes funções para obter cada componente:</a:t>
          </a:r>
        </a:p>
        <a:p>
          <a:r>
            <a:rPr lang="pt-PT"/>
            <a:t>📅 </a:t>
          </a:r>
          <a:r>
            <a:rPr lang="pt-PT" b="1"/>
            <a:t>Dia</a:t>
          </a:r>
          <a:r>
            <a:rPr lang="pt-PT"/>
            <a:t> → =DIA(A1) → Retorna 1</a:t>
          </a:r>
        </a:p>
        <a:p>
          <a:r>
            <a:rPr lang="pt-PT"/>
            <a:t>📅 </a:t>
          </a:r>
          <a:r>
            <a:rPr lang="pt-PT" b="1"/>
            <a:t>Mês</a:t>
          </a:r>
          <a:r>
            <a:rPr lang="pt-PT"/>
            <a:t> → =MÊS(A1) → Retorna 3</a:t>
          </a:r>
        </a:p>
        <a:p>
          <a:r>
            <a:rPr lang="pt-PT"/>
            <a:t>📅 </a:t>
          </a:r>
          <a:r>
            <a:rPr lang="pt-PT" b="1"/>
            <a:t>Ano</a:t>
          </a:r>
          <a:r>
            <a:rPr lang="pt-PT"/>
            <a:t> → =ANO(A1) → Retorna 2024</a:t>
          </a:r>
        </a:p>
        <a:p>
          <a:r>
            <a:rPr lang="pt-PT" b="1"/>
            <a:t>2️⃣ Criar uma Data a partir de Ano, Mês e Dia</a:t>
          </a:r>
        </a:p>
        <a:p>
          <a:r>
            <a:rPr lang="pt-PT"/>
            <a:t>Se tens os valores separados, podes construir uma data com:</a:t>
          </a:r>
        </a:p>
        <a:p>
          <a:r>
            <a:rPr lang="pt-PT"/>
            <a:t>📌 </a:t>
          </a:r>
          <a:r>
            <a:rPr lang="pt-PT" b="1"/>
            <a:t>Fórmula:</a:t>
          </a:r>
          <a:endParaRPr lang="pt-PT"/>
        </a:p>
        <a:p>
          <a:r>
            <a:rPr lang="pt-PT"/>
            <a:t>excel</a:t>
          </a:r>
        </a:p>
        <a:p>
          <a:r>
            <a:rPr lang="pt-PT"/>
            <a:t>CopiarEditar</a:t>
          </a:r>
        </a:p>
        <a:p>
          <a:pPr rtl="0"/>
          <a:r>
            <a:rPr lang="pt-PT"/>
            <a:t>=DATA(2024;3;1) </a:t>
          </a:r>
        </a:p>
        <a:p>
          <a:r>
            <a:rPr lang="pt-PT"/>
            <a:t>📌 </a:t>
          </a:r>
          <a:r>
            <a:rPr lang="pt-PT" b="1"/>
            <a:t>Ou utilizando células separadas:</a:t>
          </a:r>
          <a:endParaRPr lang="pt-PT"/>
        </a:p>
        <a:p>
          <a:r>
            <a:rPr lang="pt-PT"/>
            <a:t>excel</a:t>
          </a:r>
        </a:p>
        <a:p>
          <a:r>
            <a:rPr lang="pt-PT"/>
            <a:t>CopiarEditar</a:t>
          </a:r>
        </a:p>
        <a:p>
          <a:pPr rtl="0"/>
          <a:r>
            <a:rPr lang="pt-PT"/>
            <a:t>=DATA(A1;B1;C1) </a:t>
          </a:r>
        </a:p>
        <a:p>
          <a:r>
            <a:rPr lang="pt-PT" i="1"/>
            <a:t>(onde A1 contém o ano, B1 o mês e C1 o dia)</a:t>
          </a:r>
          <a:endParaRPr lang="pt-PT"/>
        </a:p>
      </xdr:txBody>
    </xdr:sp>
    <xdr:clientData/>
  </xdr:oneCellAnchor>
  <xdr:oneCellAnchor>
    <xdr:from>
      <xdr:col>10</xdr:col>
      <xdr:colOff>316230</xdr:colOff>
      <xdr:row>25</xdr:row>
      <xdr:rowOff>30480</xdr:rowOff>
    </xdr:from>
    <xdr:ext cx="3217545" cy="3662093"/>
    <xdr:sp macro="" textlink="">
      <xdr:nvSpPr>
        <xdr:cNvPr id="5" name="CaixaDeTexto 4">
          <a:extLst>
            <a:ext uri="{FF2B5EF4-FFF2-40B4-BE49-F238E27FC236}">
              <a16:creationId xmlns:a16="http://schemas.microsoft.com/office/drawing/2014/main" id="{9DF8075A-DD1A-4B57-8999-808067C80C8A}"/>
            </a:ext>
          </a:extLst>
        </xdr:cNvPr>
        <xdr:cNvSpPr txBox="1"/>
      </xdr:nvSpPr>
      <xdr:spPr>
        <a:xfrm>
          <a:off x="13756005" y="5497830"/>
          <a:ext cx="3217545" cy="3662093"/>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PT" sz="1100" b="1">
              <a:solidFill>
                <a:schemeClr val="tx1"/>
              </a:solidFill>
              <a:effectLst/>
              <a:latin typeface="+mn-lt"/>
              <a:ea typeface="+mn-ea"/>
              <a:cs typeface="+mn-cs"/>
            </a:rPr>
            <a:t>1️⃣ </a:t>
          </a:r>
          <a:r>
            <a:rPr lang="pt-PT" b="1"/>
            <a:t>Extrair Hora, Minuto e Segundo de um Horário</a:t>
          </a:r>
        </a:p>
        <a:p>
          <a:r>
            <a:rPr lang="pt-PT"/>
            <a:t>Se tens um </a:t>
          </a:r>
          <a:r>
            <a:rPr lang="pt-PT" b="1"/>
            <a:t>horário completo</a:t>
          </a:r>
          <a:r>
            <a:rPr lang="pt-PT"/>
            <a:t> (exemplo: 15:45:30 em A1), podes utilizar:</a:t>
          </a:r>
        </a:p>
        <a:p>
          <a:r>
            <a:rPr lang="pt-PT"/>
            <a:t>⏰ </a:t>
          </a:r>
          <a:r>
            <a:rPr lang="pt-PT" b="1"/>
            <a:t>Hora</a:t>
          </a:r>
          <a:r>
            <a:rPr lang="pt-PT"/>
            <a:t> → =HORA(A1) → Retorna 15</a:t>
          </a:r>
        </a:p>
        <a:p>
          <a:r>
            <a:rPr lang="pt-PT"/>
            <a:t>⏰ </a:t>
          </a:r>
          <a:r>
            <a:rPr lang="pt-PT" b="1"/>
            <a:t>Minuto</a:t>
          </a:r>
          <a:r>
            <a:rPr lang="pt-PT"/>
            <a:t> → =MINUTO(A1) → Retorna 45</a:t>
          </a:r>
        </a:p>
        <a:p>
          <a:r>
            <a:rPr lang="pt-PT"/>
            <a:t>⏰ </a:t>
          </a:r>
          <a:r>
            <a:rPr lang="pt-PT" b="1"/>
            <a:t>Segundo</a:t>
          </a:r>
          <a:r>
            <a:rPr lang="pt-PT"/>
            <a:t> → =SEGUNDO(A1) → Retorna 30</a:t>
          </a:r>
        </a:p>
        <a:p>
          <a:r>
            <a:rPr lang="pt-PT" b="1"/>
            <a:t>4️⃣ Criar um Horário a partir de Hora, Minuto e Segundo</a:t>
          </a:r>
        </a:p>
        <a:p>
          <a:r>
            <a:rPr lang="pt-PT"/>
            <a:t>Se tens os valores separados, podes construir um horário com:</a:t>
          </a:r>
        </a:p>
        <a:p>
          <a:r>
            <a:rPr lang="pt-PT"/>
            <a:t>📌 </a:t>
          </a:r>
          <a:r>
            <a:rPr lang="pt-PT" b="1"/>
            <a:t>Fórmula:</a:t>
          </a:r>
          <a:endParaRPr lang="pt-PT"/>
        </a:p>
        <a:p>
          <a:r>
            <a:rPr lang="pt-PT"/>
            <a:t>excel</a:t>
          </a:r>
        </a:p>
        <a:p>
          <a:r>
            <a:rPr lang="pt-PT"/>
            <a:t>CopiarEditar</a:t>
          </a:r>
        </a:p>
        <a:p>
          <a:pPr rtl="0"/>
          <a:r>
            <a:rPr lang="pt-PT"/>
            <a:t>=TEMPO(15;45;30) </a:t>
          </a:r>
        </a:p>
        <a:p>
          <a:r>
            <a:rPr lang="pt-PT"/>
            <a:t>📌 </a:t>
          </a:r>
          <a:r>
            <a:rPr lang="pt-PT" b="1"/>
            <a:t>Ou utilizando células separadas:</a:t>
          </a:r>
          <a:endParaRPr lang="pt-PT"/>
        </a:p>
        <a:p>
          <a:r>
            <a:rPr lang="pt-PT"/>
            <a:t>excel</a:t>
          </a:r>
        </a:p>
        <a:p>
          <a:r>
            <a:rPr lang="pt-PT"/>
            <a:t>CopiarEditar</a:t>
          </a:r>
        </a:p>
        <a:p>
          <a:pPr rtl="0"/>
          <a:r>
            <a:rPr lang="pt-PT"/>
            <a:t>=TEMPO(A1;B1;C1) </a:t>
          </a:r>
        </a:p>
        <a:p>
          <a:r>
            <a:rPr lang="pt-PT" i="1"/>
            <a:t>(onde A1 contém a hora, B1 os minutos e C1 os segundos)</a:t>
          </a:r>
          <a:endParaRPr lang="pt-PT"/>
        </a:p>
      </xdr:txBody>
    </xdr:sp>
    <xdr:clientData/>
  </xdr:oneCellAnchor>
  <xdr:oneCellAnchor>
    <xdr:from>
      <xdr:col>5</xdr:col>
      <xdr:colOff>1905</xdr:colOff>
      <xdr:row>46</xdr:row>
      <xdr:rowOff>100965</xdr:rowOff>
    </xdr:from>
    <xdr:ext cx="5341620" cy="1161472"/>
    <xdr:sp macro="" textlink="">
      <xdr:nvSpPr>
        <xdr:cNvPr id="6" name="CaixaDeTexto 5">
          <a:extLst>
            <a:ext uri="{FF2B5EF4-FFF2-40B4-BE49-F238E27FC236}">
              <a16:creationId xmlns:a16="http://schemas.microsoft.com/office/drawing/2014/main" id="{74F1AB2F-0DEE-4F8D-9DB2-28C125D7F72A}"/>
            </a:ext>
          </a:extLst>
        </xdr:cNvPr>
        <xdr:cNvSpPr txBox="1"/>
      </xdr:nvSpPr>
      <xdr:spPr>
        <a:xfrm>
          <a:off x="10393680" y="9406890"/>
          <a:ext cx="5341620" cy="1161472"/>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PT"/>
            <a:t>💡 </a:t>
          </a:r>
          <a:r>
            <a:rPr lang="pt-PT" b="1"/>
            <a:t>Dica:</a:t>
          </a:r>
          <a:br>
            <a:rPr lang="pt-PT"/>
          </a:br>
          <a:r>
            <a:rPr lang="pt-PT"/>
            <a:t>Se precisas de combinar </a:t>
          </a:r>
          <a:r>
            <a:rPr lang="pt-PT" b="1"/>
            <a:t>data e hora</a:t>
          </a:r>
          <a:r>
            <a:rPr lang="pt-PT"/>
            <a:t>, podes somar DATA() e TEMPO(), como por exemplo:</a:t>
          </a:r>
        </a:p>
        <a:p>
          <a:r>
            <a:rPr lang="pt-PT"/>
            <a:t>Excel</a:t>
          </a:r>
        </a:p>
        <a:p>
          <a:r>
            <a:rPr lang="pt-PT"/>
            <a:t>CopiarEditar</a:t>
          </a:r>
        </a:p>
        <a:p>
          <a:pPr rtl="0"/>
          <a:r>
            <a:rPr lang="pt-PT"/>
            <a:t>=DATA(2024;3;1) + TEMPO(15;45;30) </a:t>
          </a:r>
        </a:p>
        <a:p>
          <a:r>
            <a:rPr lang="pt-PT"/>
            <a:t>Isso criará um valor no formato </a:t>
          </a:r>
          <a:r>
            <a:rPr lang="pt-PT" b="1"/>
            <a:t>01/03/2024 15:45:30</a:t>
          </a:r>
          <a:r>
            <a:rPr lang="pt-PT"/>
            <a:t>. 🚀</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323850</xdr:colOff>
      <xdr:row>24</xdr:row>
      <xdr:rowOff>85725</xdr:rowOff>
    </xdr:from>
    <xdr:to>
      <xdr:col>1</xdr:col>
      <xdr:colOff>5210175</xdr:colOff>
      <xdr:row>50</xdr:row>
      <xdr:rowOff>28575</xdr:rowOff>
    </xdr:to>
    <xdr:grpSp>
      <xdr:nvGrpSpPr>
        <xdr:cNvPr id="111" name="Grupo 110">
          <a:extLst>
            <a:ext uri="{FF2B5EF4-FFF2-40B4-BE49-F238E27FC236}">
              <a16:creationId xmlns:a16="http://schemas.microsoft.com/office/drawing/2014/main" id="{5C38C905-DEF0-45E7-ABEB-10915BE42D13}"/>
            </a:ext>
          </a:extLst>
        </xdr:cNvPr>
        <xdr:cNvGrpSpPr/>
      </xdr:nvGrpSpPr>
      <xdr:grpSpPr>
        <a:xfrm>
          <a:off x="320040" y="5031105"/>
          <a:ext cx="5755005" cy="4644390"/>
          <a:chOff x="323850" y="5019675"/>
          <a:chExt cx="5734050" cy="4895850"/>
        </a:xfrm>
      </xdr:grpSpPr>
      <xdr:grpSp>
        <xdr:nvGrpSpPr>
          <xdr:cNvPr id="58" name="grp_PainelApresentação">
            <a:extLst>
              <a:ext uri="{FF2B5EF4-FFF2-40B4-BE49-F238E27FC236}">
                <a16:creationId xmlns:a16="http://schemas.microsoft.com/office/drawing/2014/main" id="{3E43ADA2-5F3E-45C6-BA66-1973A0B1F638}"/>
              </a:ext>
            </a:extLst>
          </xdr:cNvPr>
          <xdr:cNvGrpSpPr/>
        </xdr:nvGrpSpPr>
        <xdr:grpSpPr>
          <a:xfrm>
            <a:off x="323850" y="5019675"/>
            <a:ext cx="5734050" cy="4895850"/>
            <a:chOff x="609600" y="1524000"/>
            <a:chExt cx="5695950" cy="4947385"/>
          </a:xfrm>
        </xdr:grpSpPr>
        <xdr:sp macro="" textlink="">
          <xdr:nvSpPr>
            <xdr:cNvPr id="59" name="txt_FundoDaApresentação" descr="Fundo">
              <a:extLst>
                <a:ext uri="{FF2B5EF4-FFF2-40B4-BE49-F238E27FC236}">
                  <a16:creationId xmlns:a16="http://schemas.microsoft.com/office/drawing/2014/main" id="{746CE660-670F-48DE-9B5A-8F87BB149114}"/>
                </a:ext>
              </a:extLst>
            </xdr:cNvPr>
            <xdr:cNvSpPr/>
          </xdr:nvSpPr>
          <xdr:spPr>
            <a:xfrm>
              <a:off x="609600" y="1524000"/>
              <a:ext cx="5695950" cy="494738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CabeçalhoDaApresentação" descr="Utilizar texto e números em conjunto">
              <a:extLst>
                <a:ext uri="{FF2B5EF4-FFF2-40B4-BE49-F238E27FC236}">
                  <a16:creationId xmlns:a16="http://schemas.microsoft.com/office/drawing/2014/main" id="{F438F1EF-277F-41AD-BA1E-1D4C10A4E576}"/>
                </a:ext>
              </a:extLst>
            </xdr:cNvPr>
            <xdr:cNvSpPr txBox="1"/>
          </xdr:nvSpPr>
          <xdr:spPr>
            <a:xfrm>
              <a:off x="849300" y="1677001"/>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Utilizar texto e números em conjunto</a:t>
              </a:r>
            </a:p>
          </xdr:txBody>
        </xdr:sp>
        <xdr:cxnSp macro="">
          <xdr:nvCxnSpPr>
            <xdr:cNvPr id="61" name="txt_Linha1DaApresentação" descr="Linha decorativa">
              <a:extLst>
                <a:ext uri="{FF2B5EF4-FFF2-40B4-BE49-F238E27FC236}">
                  <a16:creationId xmlns:a16="http://schemas.microsoft.com/office/drawing/2014/main" id="{DDC3CCDC-6AE4-46BD-AE52-501D8F2D8750}"/>
                </a:ext>
              </a:extLst>
            </xdr:cNvPr>
            <xdr:cNvCxnSpPr>
              <a:cxnSpLocks/>
            </xdr:cNvCxnSpPr>
          </xdr:nvCxnSpPr>
          <xdr:spPr>
            <a:xfrm>
              <a:off x="850887" y="223887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Linha2DaApresentação" descr="Linha decorativa">
              <a:extLst>
                <a:ext uri="{FF2B5EF4-FFF2-40B4-BE49-F238E27FC236}">
                  <a16:creationId xmlns:a16="http://schemas.microsoft.com/office/drawing/2014/main" id="{A29D6EA9-B97F-4F30-9031-1B1934F6D015}"/>
                </a:ext>
              </a:extLst>
            </xdr:cNvPr>
            <xdr:cNvCxnSpPr>
              <a:cxnSpLocks/>
            </xdr:cNvCxnSpPr>
          </xdr:nvCxnSpPr>
          <xdr:spPr>
            <a:xfrm>
              <a:off x="850887" y="576905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IntroduçãoDaApresentaçã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81918"/>
              <a:ext cx="5216551" cy="1802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Agora, vamos utilizar &amp; para unir texto e números e não apenas texto.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Repare nas células C28:D29. As datas e horas estão em células separadas. Pode associá-las com o símbolo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como pode ver nas células C32:C33. No entanto, o resultado não parece correto. Infelizmente, o Excel não sabe como quer formatar os números, pelo que os apresenta no seu formato mais básico, que neste caso é a data em série. Precisamos de explicar ao Excel como formatar a parte do número da fórmula, para que seja apresentado como pretendido na cadeia de texto. Pode fazê-lo com a função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TEXTO</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 código de formatação.</a:t>
              </a:r>
            </a:p>
          </xdr:txBody>
        </xdr:sp>
      </xdr:grpSp>
      <xdr:grpSp>
        <xdr:nvGrpSpPr>
          <xdr:cNvPr id="64" name="grp_Passo">
            <a:extLst>
              <a:ext uri="{FF2B5EF4-FFF2-40B4-BE49-F238E27FC236}">
                <a16:creationId xmlns:a16="http://schemas.microsoft.com/office/drawing/2014/main" id="{C6BDB8A3-21FE-4EAA-A451-F595D7A1CFD1}"/>
              </a:ext>
            </a:extLst>
          </xdr:cNvPr>
          <xdr:cNvGrpSpPr/>
        </xdr:nvGrpSpPr>
        <xdr:grpSpPr>
          <a:xfrm>
            <a:off x="561975" y="7658100"/>
            <a:ext cx="5229626" cy="781050"/>
            <a:chOff x="619063" y="7867650"/>
            <a:chExt cx="5195697" cy="781050"/>
          </a:xfrm>
        </xdr:grpSpPr>
        <xdr:sp macro="" textlink="">
          <xdr:nvSpPr>
            <xdr:cNvPr id="65" name="txt_Passo" descr="Na célula C36, introduza =C28&amp;&quot; &quot;&amp;TEXTO(D28;&quot;MM/DD/AAAA&quot;). MM/DD/AAAA é o código de formato dos EUA para Mês/Dia/Ano, por exemplo, 09/25/2017.&#10;&#10;">
              <a:extLst>
                <a:ext uri="{FF2B5EF4-FFF2-40B4-BE49-F238E27FC236}">
                  <a16:creationId xmlns:a16="http://schemas.microsoft.com/office/drawing/2014/main" id="{DDE71C24-EA69-4FB1-9319-E270E463554C}"/>
                </a:ext>
              </a:extLst>
            </xdr:cNvPr>
            <xdr:cNvSpPr txBox="1"/>
          </xdr:nvSpPr>
          <xdr:spPr>
            <a:xfrm>
              <a:off x="1036221" y="7909608"/>
              <a:ext cx="4778539" cy="739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C36,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"&amp;TEXTO(D28;"</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DD/MM/AAAA</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DD/MM/AAAA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o código de formato dos EUA para Mês/Dia/Ano, por exemplo, 09/25/2017.</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Passo" descr="1">
              <a:extLst>
                <a:ext uri="{FF2B5EF4-FFF2-40B4-BE49-F238E27FC236}">
                  <a16:creationId xmlns:a16="http://schemas.microsoft.com/office/drawing/2014/main" id="{8E23CA67-4E1A-43D7-84B1-192836614566}"/>
                </a:ext>
              </a:extLst>
            </xdr:cNvPr>
            <xdr:cNvSpPr/>
          </xdr:nvSpPr>
          <xdr:spPr>
            <a:xfrm>
              <a:off x="619063" y="786765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67" name="grp_Passo">
            <a:extLst>
              <a:ext uri="{FF2B5EF4-FFF2-40B4-BE49-F238E27FC236}">
                <a16:creationId xmlns:a16="http://schemas.microsoft.com/office/drawing/2014/main" id="{400221E8-F2AA-445E-86DD-DDE14B5B3DC8}"/>
              </a:ext>
            </a:extLst>
          </xdr:cNvPr>
          <xdr:cNvGrpSpPr/>
        </xdr:nvGrpSpPr>
        <xdr:grpSpPr>
          <a:xfrm>
            <a:off x="561975" y="8429625"/>
            <a:ext cx="5229626" cy="742950"/>
            <a:chOff x="619063" y="8058150"/>
            <a:chExt cx="5195697" cy="742950"/>
          </a:xfrm>
        </xdr:grpSpPr>
        <xdr:sp macro="" textlink="">
          <xdr:nvSpPr>
            <xdr:cNvPr id="68" name="txt_Passo" descr="Na célula C37, introduza =C29&amp;&quot; &quot;&amp;TEXTO(D29;&quot;HH:MM AM/PM&quot;). HH:MM AM/PM é o código de formato dos EUA para Horas:Minutos AM ou PM, por exemplo, 1:30 PM.&#10;">
              <a:extLst>
                <a:ext uri="{FF2B5EF4-FFF2-40B4-BE49-F238E27FC236}">
                  <a16:creationId xmlns:a16="http://schemas.microsoft.com/office/drawing/2014/main" id="{CEB49487-C445-4B69-9112-51698E7250F2}"/>
                </a:ext>
              </a:extLst>
            </xdr:cNvPr>
            <xdr:cNvSpPr txBox="1"/>
          </xdr:nvSpPr>
          <xdr:spPr>
            <a:xfrm>
              <a:off x="1036221" y="8100108"/>
              <a:ext cx="4778539" cy="700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C37,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"&amp;TEXTO(D29;"H:MM")</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H:MM é o código do formato português para Horas:Minutos, por exemplo, 13:30.</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Passo" descr="2">
              <a:extLst>
                <a:ext uri="{FF2B5EF4-FFF2-40B4-BE49-F238E27FC236}">
                  <a16:creationId xmlns:a16="http://schemas.microsoft.com/office/drawing/2014/main" id="{D170A5A8-EB2A-420E-AFF9-3414BA79F7BF}"/>
                </a:ext>
              </a:extLst>
            </xdr:cNvPr>
            <xdr:cNvSpPr/>
          </xdr:nvSpPr>
          <xdr:spPr>
            <a:xfrm>
              <a:off x="619063" y="805815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548640</xdr:colOff>
      <xdr:row>47</xdr:row>
      <xdr:rowOff>91440</xdr:rowOff>
    </xdr:from>
    <xdr:to>
      <xdr:col>1</xdr:col>
      <xdr:colOff>970370</xdr:colOff>
      <xdr:row>49</xdr:row>
      <xdr:rowOff>40174</xdr:rowOff>
    </xdr:to>
    <xdr:sp macro="" textlink="">
      <xdr:nvSpPr>
        <xdr:cNvPr id="70" name="BotãoAnterior" descr="Regressar à folha anterior">
          <a:hlinkClick xmlns:r="http://schemas.openxmlformats.org/officeDocument/2006/relationships" r:id="rId1" tooltip="Clique aqui para voltar à folha anterior"/>
          <a:extLst>
            <a:ext uri="{FF2B5EF4-FFF2-40B4-BE49-F238E27FC236}">
              <a16:creationId xmlns:a16="http://schemas.microsoft.com/office/drawing/2014/main" id="{DCA6AC04-F66C-44EC-86B5-CE167DBCCA5F}"/>
            </a:ext>
          </a:extLst>
        </xdr:cNvPr>
        <xdr:cNvSpPr/>
      </xdr:nvSpPr>
      <xdr:spPr>
        <a:xfrm flipH="1">
          <a:off x="542925" y="96107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xdr:twoCellAnchor>
  <xdr:twoCellAnchor editAs="absolute">
    <xdr:from>
      <xdr:col>1</xdr:col>
      <xdr:colOff>3713211</xdr:colOff>
      <xdr:row>47</xdr:row>
      <xdr:rowOff>91440</xdr:rowOff>
    </xdr:from>
    <xdr:to>
      <xdr:col>1</xdr:col>
      <xdr:colOff>4988381</xdr:colOff>
      <xdr:row>49</xdr:row>
      <xdr:rowOff>40174</xdr:rowOff>
    </xdr:to>
    <xdr:sp macro="" textlink="">
      <xdr:nvSpPr>
        <xdr:cNvPr id="71" name="BotãoSeguinte" descr="Avançar para a folha seguinte">
          <a:hlinkClick xmlns:r="http://schemas.openxmlformats.org/officeDocument/2006/relationships" r:id="rId2" tooltip="Clique aqui para avançar para a folha de cálculo seguinte"/>
          <a:extLst>
            <a:ext uri="{FF2B5EF4-FFF2-40B4-BE49-F238E27FC236}">
              <a16:creationId xmlns:a16="http://schemas.microsoft.com/office/drawing/2014/main" id="{625A78A7-925A-4E8E-B9FF-D88914AFC403}"/>
            </a:ext>
          </a:extLst>
        </xdr:cNvPr>
        <xdr:cNvSpPr/>
      </xdr:nvSpPr>
      <xdr:spPr>
        <a:xfrm>
          <a:off x="4560936" y="96107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1</xdr:col>
      <xdr:colOff>5468302</xdr:colOff>
      <xdr:row>41</xdr:row>
      <xdr:rowOff>129540</xdr:rowOff>
    </xdr:from>
    <xdr:to>
      <xdr:col>4</xdr:col>
      <xdr:colOff>1178453</xdr:colOff>
      <xdr:row>50</xdr:row>
      <xdr:rowOff>130599</xdr:rowOff>
    </xdr:to>
    <xdr:grpSp>
      <xdr:nvGrpSpPr>
        <xdr:cNvPr id="72" name="PARA EXPLORAR" descr="PARA EXPLORAR">
          <a:extLst>
            <a:ext uri="{FF2B5EF4-FFF2-40B4-BE49-F238E27FC236}">
              <a16:creationId xmlns:a16="http://schemas.microsoft.com/office/drawing/2014/main" id="{D3F697DB-2CF8-4D23-9E17-2125613D49A8}"/>
            </a:ext>
          </a:extLst>
        </xdr:cNvPr>
        <xdr:cNvGrpSpPr/>
      </xdr:nvGrpSpPr>
      <xdr:grpSpPr>
        <a:xfrm>
          <a:off x="6331267" y="8153400"/>
          <a:ext cx="3553036" cy="1629834"/>
          <a:chOff x="8477250" y="8591549"/>
          <a:chExt cx="3314700" cy="1504951"/>
        </a:xfrm>
      </xdr:grpSpPr>
      <xdr:pic>
        <xdr:nvPicPr>
          <xdr:cNvPr id="73" name="Gráfico 9" descr="Caminhada">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Passo"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PARA EXPLORAR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Se não souber que código de formato utilizar, pode premir </a:t>
            </a:r>
            <a:r>
              <a:rPr lang="pt-pt" sz="1100" b="1" kern="0">
                <a:solidFill>
                  <a:schemeClr val="bg2">
                    <a:lumMod val="25000"/>
                  </a:schemeClr>
                </a:solidFill>
                <a:ea typeface="Segoe UI" pitchFamily="34" charset="0"/>
                <a:cs typeface="Segoe UI Light" panose="020B0502040204020203" pitchFamily="34" charset="0"/>
              </a:rPr>
              <a:t>Ctrl+1</a:t>
            </a:r>
            <a:r>
              <a:rPr lang="pt-pt" sz="1100" kern="0">
                <a:solidFill>
                  <a:schemeClr val="bg2">
                    <a:lumMod val="25000"/>
                  </a:schemeClr>
                </a:solidFill>
                <a:ea typeface="Segoe UI" pitchFamily="34" charset="0"/>
                <a:cs typeface="Segoe UI Light" panose="020B0502040204020203" pitchFamily="34" charset="0"/>
              </a:rPr>
              <a:t> &gt; </a:t>
            </a:r>
            <a:r>
              <a:rPr lang="pt-pt" sz="1100" b="1" kern="0">
                <a:solidFill>
                  <a:schemeClr val="bg2">
                    <a:lumMod val="25000"/>
                  </a:schemeClr>
                </a:solidFill>
                <a:ea typeface="Segoe UI" pitchFamily="34" charset="0"/>
                <a:cs typeface="Segoe UI Light" panose="020B0502040204020203" pitchFamily="34" charset="0"/>
              </a:rPr>
              <a:t>Número</a:t>
            </a:r>
            <a:r>
              <a:rPr lang="pt-pt" sz="1100" kern="0">
                <a:solidFill>
                  <a:schemeClr val="bg2">
                    <a:lumMod val="25000"/>
                  </a:schemeClr>
                </a:solidFill>
                <a:ea typeface="Segoe UI" pitchFamily="34" charset="0"/>
                <a:cs typeface="Segoe UI Light" panose="020B0502040204020203" pitchFamily="34" charset="0"/>
              </a:rPr>
              <a:t> para formatar uma célula como quiser.  Em seguida, selecione a </a:t>
            </a:r>
            <a:r>
              <a:rPr lang="pt-pt" sz="1100" b="0" kern="0">
                <a:solidFill>
                  <a:schemeClr val="bg2">
                    <a:lumMod val="25000"/>
                  </a:schemeClr>
                </a:solidFill>
                <a:ea typeface="Segoe UI" pitchFamily="34" charset="0"/>
                <a:cs typeface="Segoe UI Light" panose="020B0502040204020203" pitchFamily="34" charset="0"/>
              </a:rPr>
              <a:t>opção </a:t>
            </a:r>
            <a:r>
              <a:rPr lang="pt-pt" sz="1100" b="1" kern="0">
                <a:solidFill>
                  <a:schemeClr val="bg2">
                    <a:lumMod val="25000"/>
                  </a:schemeClr>
                </a:solidFill>
                <a:ea typeface="Segoe UI" pitchFamily="34" charset="0"/>
                <a:cs typeface="Segoe UI Light" panose="020B0502040204020203" pitchFamily="34" charset="0"/>
              </a:rPr>
              <a:t>Personalizado</a:t>
            </a:r>
            <a:r>
              <a:rPr lang="pt-pt" sz="1100" kern="0">
                <a:solidFill>
                  <a:schemeClr val="bg2">
                    <a:lumMod val="25000"/>
                  </a:schemeClr>
                </a:solidFill>
                <a:ea typeface="Segoe UI" pitchFamily="34" charset="0"/>
                <a:cs typeface="Segoe UI Light" panose="020B0502040204020203" pitchFamily="34" charset="0"/>
              </a:rPr>
              <a:t>. Pode copiar o código de formato apresentado para a sua fórmula.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50</xdr:row>
      <xdr:rowOff>114299</xdr:rowOff>
    </xdr:from>
    <xdr:to>
      <xdr:col>1</xdr:col>
      <xdr:colOff>5209413</xdr:colOff>
      <xdr:row>62</xdr:row>
      <xdr:rowOff>180975</xdr:rowOff>
    </xdr:to>
    <xdr:grpSp>
      <xdr:nvGrpSpPr>
        <xdr:cNvPr id="110" name="Grupo 109">
          <a:extLst>
            <a:ext uri="{FF2B5EF4-FFF2-40B4-BE49-F238E27FC236}">
              <a16:creationId xmlns:a16="http://schemas.microsoft.com/office/drawing/2014/main" id="{AB7C580B-2584-48A5-99EE-E42C35C6718F}"/>
            </a:ext>
          </a:extLst>
        </xdr:cNvPr>
        <xdr:cNvGrpSpPr/>
      </xdr:nvGrpSpPr>
      <xdr:grpSpPr>
        <a:xfrm>
          <a:off x="320040" y="9763124"/>
          <a:ext cx="5754243" cy="2236471"/>
          <a:chOff x="323850" y="9629774"/>
          <a:chExt cx="5733288" cy="2066925"/>
        </a:xfrm>
      </xdr:grpSpPr>
      <xdr:sp macro="" textlink="">
        <xdr:nvSpPr>
          <xdr:cNvPr id="76" name="Retângulo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7" name="Passo" descr="Mais informações na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Conexão Reta 77" descr="Linha decorativa">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Conexão Reta 78" descr="Linha decorativa">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54</xdr:row>
      <xdr:rowOff>57326</xdr:rowOff>
    </xdr:from>
    <xdr:to>
      <xdr:col>1</xdr:col>
      <xdr:colOff>2572868</xdr:colOff>
      <xdr:row>56</xdr:row>
      <xdr:rowOff>32942</xdr:rowOff>
    </xdr:to>
    <xdr:grpSp>
      <xdr:nvGrpSpPr>
        <xdr:cNvPr id="29" name="Grupo 28">
          <a:extLst>
            <a:ext uri="{FF2B5EF4-FFF2-40B4-BE49-F238E27FC236}">
              <a16:creationId xmlns:a16="http://schemas.microsoft.com/office/drawing/2014/main" id="{56EB2164-D147-400B-8F32-5162F0FB9573}"/>
            </a:ext>
          </a:extLst>
        </xdr:cNvPr>
        <xdr:cNvGrpSpPr/>
      </xdr:nvGrpSpPr>
      <xdr:grpSpPr>
        <a:xfrm>
          <a:off x="535207" y="10426241"/>
          <a:ext cx="2900626" cy="339471"/>
          <a:chOff x="535207" y="10201451"/>
          <a:chExt cx="2885386" cy="356616"/>
        </a:xfrm>
      </xdr:grpSpPr>
      <xdr:sp macro="" textlink="">
        <xdr:nvSpPr>
          <xdr:cNvPr id="80" name="Passo" descr="Tudo sobre a função TEXTO&#10;&#10;&#10;">
            <a:hlinkClick xmlns:r="http://schemas.openxmlformats.org/officeDocument/2006/relationships" r:id="rId5" tooltip="Selecione para aceder à Web e saber tudo sobre a função TEXTO"/>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TEXTO</a:t>
            </a:r>
          </a:p>
        </xdr:txBody>
      </xdr:sp>
      <xdr:pic>
        <xdr:nvPicPr>
          <xdr:cNvPr id="81"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56</xdr:row>
      <xdr:rowOff>78542</xdr:rowOff>
    </xdr:from>
    <xdr:to>
      <xdr:col>1</xdr:col>
      <xdr:colOff>2601630</xdr:colOff>
      <xdr:row>58</xdr:row>
      <xdr:rowOff>54158</xdr:rowOff>
    </xdr:to>
    <xdr:grpSp>
      <xdr:nvGrpSpPr>
        <xdr:cNvPr id="28" name="Grupo 27">
          <a:extLst>
            <a:ext uri="{FF2B5EF4-FFF2-40B4-BE49-F238E27FC236}">
              <a16:creationId xmlns:a16="http://schemas.microsoft.com/office/drawing/2014/main" id="{EA729A85-5078-41D7-B98C-429FBA889789}"/>
            </a:ext>
          </a:extLst>
        </xdr:cNvPr>
        <xdr:cNvGrpSpPr/>
      </xdr:nvGrpSpPr>
      <xdr:grpSpPr>
        <a:xfrm>
          <a:off x="535207" y="10813217"/>
          <a:ext cx="2935103" cy="341376"/>
          <a:chOff x="535207" y="10603667"/>
          <a:chExt cx="2914148" cy="356616"/>
        </a:xfrm>
      </xdr:grpSpPr>
      <xdr:sp macro="" textlink="">
        <xdr:nvSpPr>
          <xdr:cNvPr id="82" name="Passo" descr="Combinar texto e números, com hiperligação para a Web&#10;">
            <a:hlinkClick xmlns:r="http://schemas.openxmlformats.org/officeDocument/2006/relationships" r:id="rId8" tooltip="Selecione para aceder à Web e saber tudo sobre como combinar texto e números"/>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Combinar texto</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números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58</xdr:row>
      <xdr:rowOff>105092</xdr:rowOff>
    </xdr:from>
    <xdr:to>
      <xdr:col>1</xdr:col>
      <xdr:colOff>2847975</xdr:colOff>
      <xdr:row>60</xdr:row>
      <xdr:rowOff>80708</xdr:rowOff>
    </xdr:to>
    <xdr:grpSp>
      <xdr:nvGrpSpPr>
        <xdr:cNvPr id="19" name="Grupo 18">
          <a:extLst>
            <a:ext uri="{FF2B5EF4-FFF2-40B4-BE49-F238E27FC236}">
              <a16:creationId xmlns:a16="http://schemas.microsoft.com/office/drawing/2014/main" id="{8908DE80-CBDC-46BF-A1D9-D258E3790FF2}"/>
            </a:ext>
          </a:extLst>
        </xdr:cNvPr>
        <xdr:cNvGrpSpPr/>
      </xdr:nvGrpSpPr>
      <xdr:grpSpPr>
        <a:xfrm>
          <a:off x="551709" y="11199812"/>
          <a:ext cx="3161136" cy="341376"/>
          <a:chOff x="547899" y="11011217"/>
          <a:chExt cx="3147801" cy="356616"/>
        </a:xfrm>
      </xdr:grpSpPr>
      <xdr:sp macro="" textlink="">
        <xdr:nvSpPr>
          <xdr:cNvPr id="84" name="Passo" descr="Formação online gratuita do Excel, com hiperligação para a Web&#10;">
            <a:hlinkClick xmlns:r="http://schemas.openxmlformats.org/officeDocument/2006/relationships" r:id="rId9" tooltip="Selecione para aceder à Web e saber tudo sobre a formação online gratuita do Excel"/>
            <a:extLst>
              <a:ext uri="{FF2B5EF4-FFF2-40B4-BE49-F238E27FC236}">
                <a16:creationId xmlns:a16="http://schemas.microsoft.com/office/drawing/2014/main" id="{135564DB-95BA-4D69-9BB4-47DFF364A7BC}"/>
              </a:ext>
            </a:extLst>
          </xdr:cNvPr>
          <xdr:cNvSpPr txBox="1"/>
        </xdr:nvSpPr>
        <xdr:spPr>
          <a:xfrm>
            <a:off x="1016132" y="11062558"/>
            <a:ext cx="267956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85"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23</xdr:row>
      <xdr:rowOff>180975</xdr:rowOff>
    </xdr:to>
    <xdr:grpSp>
      <xdr:nvGrpSpPr>
        <xdr:cNvPr id="86" name="Grupo 85">
          <a:extLst>
            <a:ext uri="{FF2B5EF4-FFF2-40B4-BE49-F238E27FC236}">
              <a16:creationId xmlns:a16="http://schemas.microsoft.com/office/drawing/2014/main" id="{95BF5A4D-3D39-4151-ADB7-3BD1C77C7AAA}"/>
            </a:ext>
          </a:extLst>
        </xdr:cNvPr>
        <xdr:cNvGrpSpPr/>
      </xdr:nvGrpSpPr>
      <xdr:grpSpPr>
        <a:xfrm>
          <a:off x="331470" y="354330"/>
          <a:ext cx="5755005" cy="4587240"/>
          <a:chOff x="0" y="0"/>
          <a:chExt cx="5734050" cy="4781550"/>
        </a:xfrm>
      </xdr:grpSpPr>
      <xdr:grpSp>
        <xdr:nvGrpSpPr>
          <xdr:cNvPr id="87" name="grp_PainelApresentação">
            <a:extLst>
              <a:ext uri="{FF2B5EF4-FFF2-40B4-BE49-F238E27FC236}">
                <a16:creationId xmlns:a16="http://schemas.microsoft.com/office/drawing/2014/main" id="{A96CA760-E119-42E0-81B0-6FF77D9AC3C8}"/>
              </a:ext>
            </a:extLst>
          </xdr:cNvPr>
          <xdr:cNvGrpSpPr/>
        </xdr:nvGrpSpPr>
        <xdr:grpSpPr>
          <a:xfrm>
            <a:off x="0" y="0"/>
            <a:ext cx="5734050" cy="4781550"/>
            <a:chOff x="609600" y="1524000"/>
            <a:chExt cx="5695950" cy="4781550"/>
          </a:xfrm>
        </xdr:grpSpPr>
        <xdr:sp macro="" textlink="">
          <xdr:nvSpPr>
            <xdr:cNvPr id="97" name="txt_FundoDaApresentação" descr="Fundo">
              <a:extLst>
                <a:ext uri="{FF2B5EF4-FFF2-40B4-BE49-F238E27FC236}">
                  <a16:creationId xmlns:a16="http://schemas.microsoft.com/office/drawing/2014/main" id="{81E66454-B3D1-4304-95E2-8BD4F5D909D9}"/>
                </a:ext>
              </a:extLst>
            </xdr:cNvPr>
            <xdr:cNvSpPr/>
          </xdr:nvSpPr>
          <xdr:spPr>
            <a:xfrm>
              <a:off x="609600" y="1524000"/>
              <a:ext cx="5695950" cy="47815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CabeçalhoDaApresentação" descr="Unir texto de células diferente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Unir texto de células diferentes</a:t>
              </a:r>
            </a:p>
          </xdr:txBody>
        </xdr:sp>
        <xdr:cxnSp macro="">
          <xdr:nvCxnSpPr>
            <xdr:cNvPr id="99" name="txt_Linha1DaApresentação" descr="Linha decorativa">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Linha2DaApresentação" descr="Linha decorativa">
              <a:extLst>
                <a:ext uri="{FF2B5EF4-FFF2-40B4-BE49-F238E27FC236}">
                  <a16:creationId xmlns:a16="http://schemas.microsoft.com/office/drawing/2014/main" id="{D1E1815B-B93B-4FAB-BF34-F8EBD480D0BC}"/>
                </a:ext>
              </a:extLst>
            </xdr:cNvPr>
            <xdr:cNvCxnSpPr>
              <a:cxnSpLocks/>
            </xdr:cNvCxnSpPr>
          </xdr:nvCxnSpPr>
          <xdr:spPr>
            <a:xfrm>
              <a:off x="850887" y="54313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IntroduçãoDaApresentação" descr="Muitas vezes, ao trabalhar no Excel, irá querer unir texto que se encontra em células diferentes. Este exemplo é muito comum: tem uma lista de nomes próprios e apelidos e quer combiná-los como nome próprio, apelido ou como o nome completo. Felizmente, o Excel permite-nos fazê-lo com o símbolo de E comercial (&amp;) (Shift+6).">
              <a:extLst>
                <a:ext uri="{FF2B5EF4-FFF2-40B4-BE49-F238E27FC236}">
                  <a16:creationId xmlns:a16="http://schemas.microsoft.com/office/drawing/2014/main" id="{D2702511-4771-4838-A3C1-0C5BA687014B}"/>
                </a:ext>
              </a:extLst>
            </xdr:cNvPr>
            <xdr:cNvSpPr txBox="1"/>
          </xdr:nvSpPr>
          <xdr:spPr>
            <a:xfrm>
              <a:off x="846305" y="2224165"/>
              <a:ext cx="5216551" cy="85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Muitas vezes, ao trabalhar no Excel, irá querer unir texto que se encontra em células diferentes. Este exemplo é muito comum: tem uma lista de nomes próprios e apelidos e quer combiná-los como nome próprio, apelido ou como o nome completo. Felizmente, o Excel permite-nos fazê-lo com o símbolo de E comercial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que pode introduzir ao premir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Shift+6</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Passo">
            <a:extLst>
              <a:ext uri="{FF2B5EF4-FFF2-40B4-BE49-F238E27FC236}">
                <a16:creationId xmlns:a16="http://schemas.microsoft.com/office/drawing/2014/main" id="{C22B3EA9-DB64-4F67-BB25-AB505C9F6071}"/>
              </a:ext>
            </a:extLst>
          </xdr:cNvPr>
          <xdr:cNvGrpSpPr/>
        </xdr:nvGrpSpPr>
        <xdr:grpSpPr>
          <a:xfrm>
            <a:off x="238125" y="1790700"/>
            <a:ext cx="5220101" cy="596207"/>
            <a:chOff x="590674" y="7972425"/>
            <a:chExt cx="5186234" cy="596207"/>
          </a:xfrm>
        </xdr:grpSpPr>
        <xdr:sp macro="" textlink="">
          <xdr:nvSpPr>
            <xdr:cNvPr id="95" name="txt_Passo" descr="Na célula E3, introduza =D3&amp;C3 para unir o apelido e o nome próprio. ">
              <a:extLst>
                <a:ext uri="{FF2B5EF4-FFF2-40B4-BE49-F238E27FC236}">
                  <a16:creationId xmlns:a16="http://schemas.microsoft.com/office/drawing/2014/main" id="{2019278A-5B82-42D4-A9E1-AB92ED21BA21}"/>
                </a:ext>
              </a:extLst>
            </xdr:cNvPr>
            <xdr:cNvSpPr txBox="1"/>
          </xdr:nvSpPr>
          <xdr:spPr>
            <a:xfrm>
              <a:off x="998369" y="80143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E3,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unir o apelido e o nome próprio.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Passo" descr="1">
              <a:extLst>
                <a:ext uri="{FF2B5EF4-FFF2-40B4-BE49-F238E27FC236}">
                  <a16:creationId xmlns:a16="http://schemas.microsoft.com/office/drawing/2014/main" id="{08E6959D-49D7-4904-81A7-E70CA3454C0B}"/>
                </a:ext>
              </a:extLst>
            </xdr:cNvPr>
            <xdr:cNvSpPr/>
          </xdr:nvSpPr>
          <xdr:spPr>
            <a:xfrm>
              <a:off x="590674" y="79724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89" name="grp_Passo">
            <a:extLst>
              <a:ext uri="{FF2B5EF4-FFF2-40B4-BE49-F238E27FC236}">
                <a16:creationId xmlns:a16="http://schemas.microsoft.com/office/drawing/2014/main" id="{2404CB22-1164-47A4-9503-5F5194382641}"/>
              </a:ext>
            </a:extLst>
          </xdr:cNvPr>
          <xdr:cNvGrpSpPr/>
        </xdr:nvGrpSpPr>
        <xdr:grpSpPr>
          <a:xfrm>
            <a:off x="238125" y="2328863"/>
            <a:ext cx="5220101" cy="881062"/>
            <a:chOff x="590674" y="7972425"/>
            <a:chExt cx="5186234" cy="881062"/>
          </a:xfrm>
        </xdr:grpSpPr>
        <xdr:sp macro="" textlink="">
          <xdr:nvSpPr>
            <xdr:cNvPr id="93" name="txt_Passo" descr="GouveiaMargarida não parece correto. Precisamos de adicionar uma vírgula e espaço. Para fazê-lo, vamos utilizar aspas para criar uma nova cadeia de texto. Agora, introduza =D3&amp;&quot;, &quot;&amp;C3. A parte &amp;&quot;, &quot;&amp; permite-nos juntar uma vírgula e espaço ao texto nas células.&#10;">
              <a:extLst>
                <a:ext uri="{FF2B5EF4-FFF2-40B4-BE49-F238E27FC236}">
                  <a16:creationId xmlns:a16="http://schemas.microsoft.com/office/drawing/2014/main" id="{08674DB0-339E-4450-B5D1-99B77DC0D664}"/>
                </a:ext>
              </a:extLst>
            </xdr:cNvPr>
            <xdr:cNvSpPr txBox="1"/>
          </xdr:nvSpPr>
          <xdr:spPr>
            <a:xfrm>
              <a:off x="998369" y="7985808"/>
              <a:ext cx="4778539" cy="8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GouveiaMargarida não parece correto. Precisamos de adicionar uma vírgula e espaço. Para fazê-lo, vamos utilizar aspas para criar uma nova cadeia de texto. Agora,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parte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permite-nos juntar uma vírgula e espaço ao texto nas células.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Passo" descr="2">
              <a:extLst>
                <a:ext uri="{FF2B5EF4-FFF2-40B4-BE49-F238E27FC236}">
                  <a16:creationId xmlns:a16="http://schemas.microsoft.com/office/drawing/2014/main" id="{5F7A5327-6FDF-46BB-9B7E-8EB24A3ABBF2}"/>
                </a:ext>
              </a:extLst>
            </xdr:cNvPr>
            <xdr:cNvSpPr/>
          </xdr:nvSpPr>
          <xdr:spPr>
            <a:xfrm>
              <a:off x="590674" y="79724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90" name="grp_Passo">
            <a:extLst>
              <a:ext uri="{FF2B5EF4-FFF2-40B4-BE49-F238E27FC236}">
                <a16:creationId xmlns:a16="http://schemas.microsoft.com/office/drawing/2014/main" id="{C702821E-6BD4-4022-98BD-DE7E30FD3E4C}"/>
              </a:ext>
            </a:extLst>
          </xdr:cNvPr>
          <xdr:cNvGrpSpPr/>
        </xdr:nvGrpSpPr>
        <xdr:grpSpPr>
          <a:xfrm>
            <a:off x="238125" y="3267075"/>
            <a:ext cx="5220101" cy="596207"/>
            <a:chOff x="590674" y="7972425"/>
            <a:chExt cx="5186234" cy="596207"/>
          </a:xfrm>
        </xdr:grpSpPr>
        <xdr:sp macro="" textlink="">
          <xdr:nvSpPr>
            <xdr:cNvPr id="91" name="txt_Passo" descr="Para criar um nome completo, vamos unir o nome próprio e o apelido e utilizar um espaço sem vírgula. Na célula F3, introduza =C3&amp;&quot; &quot;&amp;D3.">
              <a:extLst>
                <a:ext uri="{FF2B5EF4-FFF2-40B4-BE49-F238E27FC236}">
                  <a16:creationId xmlns:a16="http://schemas.microsoft.com/office/drawing/2014/main" id="{CEF374DD-E735-4BAD-8507-D3231A999B36}"/>
                </a:ext>
              </a:extLst>
            </xdr:cNvPr>
            <xdr:cNvSpPr txBox="1"/>
          </xdr:nvSpPr>
          <xdr:spPr>
            <a:xfrm>
              <a:off x="998369" y="80143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criar um nome completo, vamos unir o nome próprio e o apelido e utilizar um espaço sem vírgula. Na célula F3,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Passo" descr="3">
              <a:extLst>
                <a:ext uri="{FF2B5EF4-FFF2-40B4-BE49-F238E27FC236}">
                  <a16:creationId xmlns:a16="http://schemas.microsoft.com/office/drawing/2014/main" id="{9477BB36-AB74-47F3-A687-1A347B7E572C}"/>
                </a:ext>
              </a:extLst>
            </xdr:cNvPr>
            <xdr:cNvSpPr/>
          </xdr:nvSpPr>
          <xdr:spPr>
            <a:xfrm>
              <a:off x="590674" y="79724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586740</xdr:colOff>
      <xdr:row>20</xdr:row>
      <xdr:rowOff>114300</xdr:rowOff>
    </xdr:from>
    <xdr:to>
      <xdr:col>1</xdr:col>
      <xdr:colOff>2474582</xdr:colOff>
      <xdr:row>23</xdr:row>
      <xdr:rowOff>78487</xdr:rowOff>
    </xdr:to>
    <xdr:sp macro="" textlink="">
      <xdr:nvSpPr>
        <xdr:cNvPr id="102" name="bt_Desça" descr="Desça para ver mais detalhes">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4958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editAs="absolute">
    <xdr:from>
      <xdr:col>1</xdr:col>
      <xdr:colOff>3713211</xdr:colOff>
      <xdr:row>20</xdr:row>
      <xdr:rowOff>114300</xdr:rowOff>
    </xdr:from>
    <xdr:to>
      <xdr:col>1</xdr:col>
      <xdr:colOff>4988381</xdr:colOff>
      <xdr:row>22</xdr:row>
      <xdr:rowOff>59224</xdr:rowOff>
    </xdr:to>
    <xdr:sp macro="" textlink="">
      <xdr:nvSpPr>
        <xdr:cNvPr id="103" name="BotãoSeguinte" descr="Avançar para a folha seguinte">
          <a:hlinkClick xmlns:r="http://schemas.openxmlformats.org/officeDocument/2006/relationships" r:id="rId2" tooltip="Clique aqui para avançar para a folha seguinte"/>
          <a:extLst>
            <a:ext uri="{FF2B5EF4-FFF2-40B4-BE49-F238E27FC236}">
              <a16:creationId xmlns:a16="http://schemas.microsoft.com/office/drawing/2014/main" id="{2DE05C84-7047-4122-A2D6-137F3AEDBF12}"/>
            </a:ext>
          </a:extLst>
        </xdr:cNvPr>
        <xdr:cNvSpPr/>
      </xdr:nvSpPr>
      <xdr:spPr>
        <a:xfrm>
          <a:off x="4560936" y="44958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4</xdr:col>
      <xdr:colOff>0</xdr:colOff>
      <xdr:row>33</xdr:row>
      <xdr:rowOff>55245</xdr:rowOff>
    </xdr:from>
    <xdr:to>
      <xdr:col>7</xdr:col>
      <xdr:colOff>360045</xdr:colOff>
      <xdr:row>39</xdr:row>
      <xdr:rowOff>114300</xdr:rowOff>
    </xdr:to>
    <xdr:grpSp>
      <xdr:nvGrpSpPr>
        <xdr:cNvPr id="104" name="INTERESSANTE" descr="INTERESSANTE&#10;&#10;">
          <a:extLst>
            <a:ext uri="{FF2B5EF4-FFF2-40B4-BE49-F238E27FC236}">
              <a16:creationId xmlns:a16="http://schemas.microsoft.com/office/drawing/2014/main" id="{EFD4E48E-5D2B-4B5E-9DBB-99430A62BD96}"/>
            </a:ext>
          </a:extLst>
        </xdr:cNvPr>
        <xdr:cNvGrpSpPr/>
      </xdr:nvGrpSpPr>
      <xdr:grpSpPr>
        <a:xfrm>
          <a:off x="8705850" y="6631305"/>
          <a:ext cx="3735705" cy="1141095"/>
          <a:chOff x="7539454" y="7993902"/>
          <a:chExt cx="3657421" cy="1409701"/>
        </a:xfrm>
      </xdr:grpSpPr>
      <xdr:grpSp>
        <xdr:nvGrpSpPr>
          <xdr:cNvPr id="105" name="Linhas de chaveta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Outra linha de chavetas" descr="Linha de chavetas">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9" name="Linha de chavetas" descr="Linha de chavetas&#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06" name="Estrelas" descr="Estrela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çõe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306434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As </a:t>
            </a:r>
            <a:r>
              <a:rPr lang="pt-pt" sz="1100" kern="0" baseline="0">
                <a:solidFill>
                  <a:schemeClr val="bg2">
                    <a:lumMod val="25000"/>
                  </a:schemeClr>
                </a:solidFill>
                <a:latin typeface="+mn-lt"/>
                <a:ea typeface="Segoe UI" pitchFamily="34" charset="0"/>
                <a:cs typeface="Segoe UI Light" panose="020B0502040204020203" pitchFamily="34" charset="0"/>
              </a:rPr>
              <a:t>fórmulas, especialmente as fórmulas grandes, podem ser por vezes difíceis de ler, mas pode separar as partes com espaços, por exemplo:</a:t>
            </a: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pt" sz="1100" b="1">
                <a:solidFill>
                  <a:schemeClr val="bg2">
                    <a:lumMod val="25000"/>
                  </a:schemeClr>
                </a:solidFill>
                <a:latin typeface="+mn-lt"/>
                <a:ea typeface="Segoe UI" pitchFamily="34" charset="0"/>
                <a:cs typeface="Segoe UI Light" panose="020B0502040204020203" pitchFamily="34" charset="0"/>
              </a:rPr>
              <a:t>=C28 &amp; " " &amp; TEXTO(D28;"</a:t>
            </a:r>
            <a:r>
              <a:rPr lang="pt-PT" sz="1100" b="1">
                <a:solidFill>
                  <a:schemeClr val="bg2">
                    <a:lumMod val="25000"/>
                  </a:schemeClr>
                </a:solidFill>
                <a:latin typeface="+mn-lt"/>
                <a:ea typeface="Segoe UI" pitchFamily="34" charset="0"/>
                <a:cs typeface="Segoe UI Light" panose="020B0502040204020203" pitchFamily="34" charset="0"/>
              </a:rPr>
              <a:t>DD/MM/AAAA</a:t>
            </a:r>
            <a:r>
              <a:rPr lang="pt-pt" sz="1100" b="1">
                <a:solidFill>
                  <a:schemeClr val="bg2">
                    <a:lumMod val="25000"/>
                  </a:schemeClr>
                </a:solidFill>
                <a:latin typeface="+mn-lt"/>
                <a:ea typeface="Segoe UI" pitchFamily="34" charset="0"/>
                <a:cs typeface="Segoe UI Light" panose="020B0502040204020203" pitchFamily="34" charset="0"/>
              </a:rPr>
              <a: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342900</xdr:colOff>
      <xdr:row>0</xdr:row>
      <xdr:rowOff>358140</xdr:rowOff>
    </xdr:from>
    <xdr:to>
      <xdr:col>1</xdr:col>
      <xdr:colOff>5231130</xdr:colOff>
      <xdr:row>22</xdr:row>
      <xdr:rowOff>158454</xdr:rowOff>
    </xdr:to>
    <xdr:grpSp>
      <xdr:nvGrpSpPr>
        <xdr:cNvPr id="32" name="Grupo 31">
          <a:extLst>
            <a:ext uri="{FF2B5EF4-FFF2-40B4-BE49-F238E27FC236}">
              <a16:creationId xmlns:a16="http://schemas.microsoft.com/office/drawing/2014/main" id="{32765470-045A-4DC3-91A2-013AB95EB7BA}"/>
            </a:ext>
          </a:extLst>
        </xdr:cNvPr>
        <xdr:cNvGrpSpPr/>
      </xdr:nvGrpSpPr>
      <xdr:grpSpPr>
        <a:xfrm>
          <a:off x="342900" y="361950"/>
          <a:ext cx="5758815" cy="4437084"/>
          <a:chOff x="342900" y="361950"/>
          <a:chExt cx="5734050" cy="4557099"/>
        </a:xfrm>
      </xdr:grpSpPr>
      <xdr:grpSp>
        <xdr:nvGrpSpPr>
          <xdr:cNvPr id="70" name="Grupo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FundoDaApresentação" descr="Fundo">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CabeçalhoDaApresentação" descr="Instruções SE">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Instruções SE</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Linha1DaApresentação" descr="Linha decorativa">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Linha2DaApresentação" descr="Linha decorativa">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IntroduçãoDaApresentação" descr="As instruções SE permitem-lhe fazer comparações lógicas entre condições. Uma instrução SE geralmente indica: se uma condição for verdadeira, então fazer algo, se a condição for falsa, então fazer outra coisa. As fórmulas podem devolver texto, valores ou até mais cálculos.&#10;">
              <a:extLst>
                <a:ext uri="{FF2B5EF4-FFF2-40B4-BE49-F238E27FC236}">
                  <a16:creationId xmlns:a16="http://schemas.microsoft.com/office/drawing/2014/main" id="{29E75ED7-FFEA-4CE5-86E1-A1A772619057}"/>
                </a:ext>
              </a:extLst>
            </xdr:cNvPr>
            <xdr:cNvSpPr txBox="1"/>
          </xdr:nvSpPr>
          <xdr:spPr>
            <a:xfrm>
              <a:off x="562138" y="1043066"/>
              <a:ext cx="5251444" cy="73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As instruções SE permitem-lhe fazer comparações lógicas entre condições. Uma instrução SE geralmente diz: se uma condição for verdadeira, então fazer algo, caso contrário fazer outra coisa. As fórmulas podem devolver texto, valores ou até mais cálculos.</a:t>
              </a:r>
            </a:p>
          </xdr:txBody>
        </xdr:sp>
      </xdr:grpSp>
      <xdr:grpSp>
        <xdr:nvGrpSpPr>
          <xdr:cNvPr id="81" name="grp_Passo">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Passo" descr="Na célula D9 introduza =SE(C9=&quot;Maçã&quot;;VERDADEIRO;FALSO). A resposta correta é VERDADEIRO.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D9 introduza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=SE(C9="Maçã";VERDADEIRO;FALSO)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resposta correta é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VERDADEIRO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Passo"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84" name="grp_Passo">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Passo" descr="Copie os conteúdos da célula D9 para a célula D10. A resposta aqui deverá ser FALSO porque uma laranja não é uma maçã.&#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Copie os conteúdos da célula D9 para a célula D10. Neste caso, a resposta deverá ser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porque uma laranja não é uma maçã.</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Passo"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87" name="grp_Passo">
            <a:extLst>
              <a:ext uri="{FF2B5EF4-FFF2-40B4-BE49-F238E27FC236}">
                <a16:creationId xmlns:a16="http://schemas.microsoft.com/office/drawing/2014/main" id="{90938F22-5BF3-4461-BD80-06D3D6849C8F}"/>
              </a:ext>
            </a:extLst>
          </xdr:cNvPr>
          <xdr:cNvGrpSpPr/>
        </xdr:nvGrpSpPr>
        <xdr:grpSpPr>
          <a:xfrm>
            <a:off x="571500" y="3165475"/>
            <a:ext cx="5220103" cy="873125"/>
            <a:chOff x="694767" y="7810500"/>
            <a:chExt cx="5186236" cy="873125"/>
          </a:xfrm>
        </xdr:grpSpPr>
        <xdr:sp macro="" textlink="">
          <xdr:nvSpPr>
            <xdr:cNvPr id="88" name="txt_Passo" descr="Experimente outro exemplo: analise a fórmula na célula D12. Já introduzimos =SE(C12&lt;100;&quot;Menor que 100&quot;;&quot;Maior ou igual a 100&quot;). O que acontece se introduzir um número maior que 100 na célula C12?&#10;&#10;&#10;">
              <a:extLst>
                <a:ext uri="{FF2B5EF4-FFF2-40B4-BE49-F238E27FC236}">
                  <a16:creationId xmlns:a16="http://schemas.microsoft.com/office/drawing/2014/main" id="{E7088066-5C93-42EC-B66E-113D20980BB7}"/>
                </a:ext>
              </a:extLst>
            </xdr:cNvPr>
            <xdr:cNvSpPr txBox="1"/>
          </xdr:nvSpPr>
          <xdr:spPr>
            <a:xfrm>
              <a:off x="1102464" y="7852458"/>
              <a:ext cx="4778539" cy="83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Experimente outro exemplo: analise a fórmula na célula D12. Introduzimos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=SE(C12&lt;100;"Menor que 100";"Maior que 100")</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que acontece se introduzir um número maior que ou igual a </a:t>
              </a: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na célula C12?</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Passo"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3680262</xdr:colOff>
      <xdr:row>19</xdr:row>
      <xdr:rowOff>76200</xdr:rowOff>
    </xdr:from>
    <xdr:to>
      <xdr:col>1</xdr:col>
      <xdr:colOff>4961147</xdr:colOff>
      <xdr:row>21</xdr:row>
      <xdr:rowOff>28744</xdr:rowOff>
    </xdr:to>
    <xdr:sp macro="" textlink="">
      <xdr:nvSpPr>
        <xdr:cNvPr id="90" name="BotãoSeguinte" descr="Avançar para a folha seguinte">
          <a:hlinkClick xmlns:r="http://schemas.openxmlformats.org/officeDocument/2006/relationships" r:id="rId1" tooltip="Clique aqui para avançar para a folha de cálculo seguinte"/>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2</xdr:col>
      <xdr:colOff>420092</xdr:colOff>
      <xdr:row>13</xdr:row>
      <xdr:rowOff>169428</xdr:rowOff>
    </xdr:from>
    <xdr:to>
      <xdr:col>6</xdr:col>
      <xdr:colOff>152399</xdr:colOff>
      <xdr:row>22</xdr:row>
      <xdr:rowOff>15240</xdr:rowOff>
    </xdr:to>
    <xdr:grpSp>
      <xdr:nvGrpSpPr>
        <xdr:cNvPr id="91" name="DETALHE IMPORTANTE" descr="DETALHE IMPORTANTE&#10;&#10;">
          <a:extLst>
            <a:ext uri="{FF2B5EF4-FFF2-40B4-BE49-F238E27FC236}">
              <a16:creationId xmlns:a16="http://schemas.microsoft.com/office/drawing/2014/main" id="{4DBA7152-B8FD-4056-917A-B7F06AE8B67E}"/>
            </a:ext>
          </a:extLst>
        </xdr:cNvPr>
        <xdr:cNvGrpSpPr/>
      </xdr:nvGrpSpPr>
      <xdr:grpSpPr>
        <a:xfrm>
          <a:off x="6973292" y="3173613"/>
          <a:ext cx="3913782" cy="1484112"/>
          <a:chOff x="6863991" y="11363325"/>
          <a:chExt cx="2871694" cy="1329278"/>
        </a:xfrm>
      </xdr:grpSpPr>
      <xdr:sp macro="" textlink="">
        <xdr:nvSpPr>
          <xdr:cNvPr id="92" name="Instrução"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661785" cy="1329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As palavras </a:t>
            </a:r>
            <a:r>
              <a:rPr lang="pt-pt" sz="1100" b="1" i="0" kern="1200" baseline="0">
                <a:solidFill>
                  <a:schemeClr val="dk1"/>
                </a:solidFill>
                <a:effectLst/>
                <a:latin typeface="+mn-lt"/>
                <a:ea typeface="+mn-ea"/>
                <a:cs typeface="+mn-cs"/>
              </a:rPr>
              <a:t>VERDADEIRO </a:t>
            </a:r>
            <a:r>
              <a:rPr lang="pt-pt" sz="1100" b="0" i="0" kern="1200" baseline="0">
                <a:solidFill>
                  <a:schemeClr val="dk1"/>
                </a:solidFill>
                <a:effectLst/>
                <a:latin typeface="+mn-lt"/>
                <a:ea typeface="+mn-ea"/>
                <a:cs typeface="+mn-cs"/>
              </a:rPr>
              <a:t>e</a:t>
            </a:r>
            <a:r>
              <a:rPr lang="pt-pt" sz="1100" b="1" i="0" kern="1200" baseline="0">
                <a:solidFill>
                  <a:schemeClr val="dk1"/>
                </a:solidFill>
                <a:effectLst/>
                <a:latin typeface="+mn-lt"/>
                <a:ea typeface="+mn-ea"/>
                <a:cs typeface="+mn-cs"/>
              </a:rPr>
              <a:t> FALSO</a:t>
            </a:r>
            <a:r>
              <a:rPr lang="pt-pt" sz="1100" b="0" i="0" kern="1200" baseline="0">
                <a:solidFill>
                  <a:schemeClr val="dk1"/>
                </a:solidFill>
                <a:effectLst/>
                <a:latin typeface="+mn-lt"/>
                <a:ea typeface="+mn-ea"/>
                <a:cs typeface="+mn-cs"/>
              </a:rPr>
              <a:t> são processadas de forma diferente das outras palavras nas fórmulas do Excel, pois não necessitam de estar entre aspas – o Excel converte-as em maiúsculas automaticamente. Os números também não têm de estar entre aspas. O texto normal, como </a:t>
            </a:r>
            <a:r>
              <a:rPr lang="pt-pt" sz="1100" b="1" i="0" kern="1200" baseline="0">
                <a:solidFill>
                  <a:schemeClr val="dk1"/>
                </a:solidFill>
                <a:effectLst/>
                <a:latin typeface="+mn-lt"/>
                <a:ea typeface="+mn-ea"/>
                <a:cs typeface="+mn-cs"/>
              </a:rPr>
              <a:t>Sim</a:t>
            </a:r>
            <a:r>
              <a:rPr lang="pt-pt" sz="1100" b="0" i="0" kern="1200" baseline="0">
                <a:solidFill>
                  <a:schemeClr val="dk1"/>
                </a:solidFill>
                <a:effectLst/>
                <a:latin typeface="+mn-lt"/>
                <a:ea typeface="+mn-ea"/>
                <a:cs typeface="+mn-cs"/>
              </a:rPr>
              <a:t> ou </a:t>
            </a:r>
            <a:r>
              <a:rPr lang="pt-pt" sz="1100" b="1" i="0" kern="1200" baseline="0">
                <a:solidFill>
                  <a:schemeClr val="dk1"/>
                </a:solidFill>
                <a:effectLst/>
                <a:latin typeface="+mn-lt"/>
                <a:ea typeface="+mn-ea"/>
                <a:cs typeface="+mn-cs"/>
              </a:rPr>
              <a:t>Não</a:t>
            </a:r>
            <a:r>
              <a:rPr lang="pt-pt" sz="1100" b="0" i="0" kern="1200" baseline="0">
                <a:solidFill>
                  <a:schemeClr val="dk1"/>
                </a:solidFill>
                <a:effectLst/>
                <a:latin typeface="+mn-lt"/>
                <a:ea typeface="+mn-ea"/>
                <a:cs typeface="+mn-cs"/>
              </a:rPr>
              <a:t>, tem de ficar entre aspas, assim: </a:t>
            </a:r>
          </a:p>
          <a:p>
            <a:pPr rtl="0" eaLnBrk="1" fontAlgn="auto" latinLnBrk="0" hangingPunct="1"/>
            <a:r>
              <a:rPr lang="pt-pt" sz="1100" b="1" kern="1200">
                <a:solidFill>
                  <a:schemeClr val="dk1"/>
                </a:solidFill>
                <a:latin typeface="+mn-lt"/>
                <a:ea typeface="+mn-ea"/>
                <a:cs typeface="+mn-cs"/>
              </a:rPr>
              <a:t>=SE(C9="Maçã";"Sim";"Não")</a:t>
            </a:r>
            <a:endParaRPr lang="en-US" sz="800" b="1">
              <a:effectLst/>
            </a:endParaRPr>
          </a:p>
        </xdr:txBody>
      </xdr:sp>
      <xdr:pic>
        <xdr:nvPicPr>
          <xdr:cNvPr id="93" name="Lupa" descr="Lupa">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5474970</xdr:colOff>
      <xdr:row>41</xdr:row>
      <xdr:rowOff>125729</xdr:rowOff>
    </xdr:from>
    <xdr:to>
      <xdr:col>4</xdr:col>
      <xdr:colOff>598170</xdr:colOff>
      <xdr:row>47</xdr:row>
      <xdr:rowOff>99059</xdr:rowOff>
    </xdr:to>
    <xdr:grpSp>
      <xdr:nvGrpSpPr>
        <xdr:cNvPr id="94" name="SUGESTÃO AVANÇADA" descr="SUGESTÃO AVANÇADA">
          <a:extLst>
            <a:ext uri="{FF2B5EF4-FFF2-40B4-BE49-F238E27FC236}">
              <a16:creationId xmlns:a16="http://schemas.microsoft.com/office/drawing/2014/main" id="{4F3513E1-6B29-4E54-80FC-E2B36E732D7E}"/>
            </a:ext>
          </a:extLst>
        </xdr:cNvPr>
        <xdr:cNvGrpSpPr/>
      </xdr:nvGrpSpPr>
      <xdr:grpSpPr>
        <a:xfrm>
          <a:off x="6339840" y="8309609"/>
          <a:ext cx="3771900" cy="1053465"/>
          <a:chOff x="8448675" y="2143125"/>
          <a:chExt cx="2812587" cy="1107625"/>
        </a:xfrm>
      </xdr:grpSpPr>
      <xdr:pic>
        <xdr:nvPicPr>
          <xdr:cNvPr id="95" name="Gráfico 2" descr="Coruja">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Passo"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que aqui para saber mais sobre os Intervalos com Nome na Web."/>
            <a:extLst>
              <a:ext uri="{FF2B5EF4-FFF2-40B4-BE49-F238E27FC236}">
                <a16:creationId xmlns:a16="http://schemas.microsoft.com/office/drawing/2014/main" id="{CDFC5BF1-DCF8-4B3F-9426-0E409672138F}"/>
              </a:ext>
            </a:extLst>
          </xdr:cNvPr>
          <xdr:cNvSpPr txBox="1"/>
        </xdr:nvSpPr>
        <xdr:spPr>
          <a:xfrm>
            <a:off x="8782052" y="2143125"/>
            <a:ext cx="2479210" cy="110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b="0" i="0" u="none" kern="0">
                <a:solidFill>
                  <a:schemeClr val="tx1">
                    <a:lumMod val="75000"/>
                    <a:lumOff val="25000"/>
                  </a:schemeClr>
                </a:solidFill>
                <a:ea typeface="Segoe UI" pitchFamily="34" charset="0"/>
                <a:cs typeface="Segoe UI Light" panose="020B0502040204020203" pitchFamily="34" charset="0"/>
              </a:rPr>
              <a:t>Os </a:t>
            </a:r>
            <a:r>
              <a:rPr lang="pt-pt" sz="1100" b="1" i="1" u="sng" kern="0">
                <a:solidFill>
                  <a:schemeClr val="accent1"/>
                </a:solidFill>
                <a:latin typeface="+mn-lt"/>
                <a:ea typeface="Segoe UI" pitchFamily="34" charset="0"/>
                <a:cs typeface="Segoe UI Light" panose="020B0502040204020203" pitchFamily="34" charset="0"/>
              </a:rPr>
              <a:t>Intervalos com Nome</a:t>
            </a:r>
            <a:r>
              <a:rPr lang="pt-pt" sz="1100" b="0" i="0" u="none" kern="0">
                <a:solidFill>
                  <a:schemeClr val="accent1"/>
                </a:solidFill>
                <a:latin typeface="+mn-lt"/>
                <a:ea typeface="Segoe UI" pitchFamily="34" charset="0"/>
                <a:cs typeface="Segoe UI Light" panose="020B0502040204020203" pitchFamily="34" charset="0"/>
              </a:rPr>
              <a:t> </a:t>
            </a:r>
            <a:r>
              <a:rPr lang="pt-pt" sz="1100" kern="0" baseline="0">
                <a:solidFill>
                  <a:schemeClr val="bg2">
                    <a:lumMod val="25000"/>
                  </a:schemeClr>
                </a:solidFill>
                <a:ea typeface="Segoe UI" pitchFamily="34" charset="0"/>
                <a:cs typeface="Segoe UI Light" panose="020B0502040204020203" pitchFamily="34" charset="0"/>
              </a:rPr>
              <a:t>permitem-lhe definir termos ou valores num único sítio e reutilizá-los em todo o livro. Pode ver todos os intervalos com nome neste livro ao aceder a </a:t>
            </a:r>
            <a:r>
              <a:rPr lang="pt-pt" sz="1100" b="1" kern="0" baseline="0">
                <a:solidFill>
                  <a:schemeClr val="bg2">
                    <a:lumMod val="25000"/>
                  </a:schemeClr>
                </a:solidFill>
                <a:ea typeface="Segoe UI" pitchFamily="34" charset="0"/>
                <a:cs typeface="Segoe UI Light" panose="020B0502040204020203" pitchFamily="34" charset="0"/>
              </a:rPr>
              <a:t>Fórmulas</a:t>
            </a:r>
            <a:r>
              <a:rPr lang="pt-pt" sz="1100" kern="0" baseline="0">
                <a:solidFill>
                  <a:schemeClr val="bg2">
                    <a:lumMod val="25000"/>
                  </a:schemeClr>
                </a:solidFill>
                <a:ea typeface="Segoe UI" pitchFamily="34" charset="0"/>
                <a:cs typeface="Segoe UI Light" panose="020B0502040204020203" pitchFamily="34" charset="0"/>
              </a:rPr>
              <a:t> &gt; </a:t>
            </a:r>
            <a:r>
              <a:rPr lang="pt-pt" sz="1100" b="1" kern="0" baseline="0">
                <a:solidFill>
                  <a:schemeClr val="bg2">
                    <a:lumMod val="25000"/>
                  </a:schemeClr>
                </a:solidFill>
                <a:ea typeface="Segoe UI" pitchFamily="34" charset="0"/>
                <a:cs typeface="Segoe UI Light" panose="020B0502040204020203" pitchFamily="34" charset="0"/>
              </a:rPr>
              <a:t>Gestor de Nomes.</a:t>
            </a:r>
            <a:r>
              <a:rPr lang="pt-pt" sz="1100" b="0" kern="0" baseline="0">
                <a:solidFill>
                  <a:schemeClr val="bg2">
                    <a:lumMod val="25000"/>
                  </a:schemeClr>
                </a:solidFill>
                <a:ea typeface="Segoe UI" pitchFamily="34" charset="0"/>
                <a:cs typeface="Segoe UI Light" panose="020B0502040204020203" pitchFamily="34" charset="0"/>
              </a:rPr>
              <a:t> Clique aqui para saber mais.</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95251</xdr:colOff>
      <xdr:row>30</xdr:row>
      <xdr:rowOff>116869</xdr:rowOff>
    </xdr:from>
    <xdr:to>
      <xdr:col>11</xdr:col>
      <xdr:colOff>518159</xdr:colOff>
      <xdr:row>39</xdr:row>
      <xdr:rowOff>58604</xdr:rowOff>
    </xdr:to>
    <xdr:grpSp>
      <xdr:nvGrpSpPr>
        <xdr:cNvPr id="97" name="INFORMAÇÕES ÚTEIS" descr="INFORMAÇÕES ÚTEIS&#10;&#10;">
          <a:extLst>
            <a:ext uri="{FF2B5EF4-FFF2-40B4-BE49-F238E27FC236}">
              <a16:creationId xmlns:a16="http://schemas.microsoft.com/office/drawing/2014/main" id="{B45D0037-257A-421E-9928-F95C71F032DA}"/>
            </a:ext>
          </a:extLst>
        </xdr:cNvPr>
        <xdr:cNvGrpSpPr/>
      </xdr:nvGrpSpPr>
      <xdr:grpSpPr>
        <a:xfrm>
          <a:off x="10826116" y="6231919"/>
          <a:ext cx="3470908" cy="1642900"/>
          <a:chOff x="6778625" y="15619705"/>
          <a:chExt cx="3174461" cy="1671345"/>
        </a:xfrm>
      </xdr:grpSpPr>
      <xdr:sp macro="" textlink="">
        <xdr:nvSpPr>
          <xdr:cNvPr id="98" name="Passo"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Ao criar uma fórmula, o Excel coloca automaticamente limites coloridos em redor dos intervalos referenciados na fórmula e os intervalos correspondentes na fórmula terão a mesma cor. Pode verificá-lo selecionando a célula F33 e premindo </a:t>
            </a:r>
            <a:r>
              <a:rPr lang="pt-pt" sz="1100" b="1" i="0" kern="1200" baseline="0">
                <a:solidFill>
                  <a:schemeClr val="dk1"/>
                </a:solidFill>
                <a:effectLst/>
                <a:latin typeface="+mn-lt"/>
                <a:ea typeface="+mn-ea"/>
                <a:cs typeface="+mn-cs"/>
              </a:rPr>
              <a:t>F2</a:t>
            </a:r>
            <a:r>
              <a:rPr lang="pt-pt" sz="1100" b="0" i="0" kern="1200" baseline="0">
                <a:solidFill>
                  <a:schemeClr val="dk1"/>
                </a:solidFill>
                <a:effectLst/>
                <a:latin typeface="+mn-lt"/>
                <a:ea typeface="+mn-ea"/>
                <a:cs typeface="+mn-cs"/>
              </a:rPr>
              <a:t> para editar a fórmula.</a:t>
            </a:r>
            <a:endParaRPr lang="en-US" sz="1100">
              <a:effectLst/>
              <a:latin typeface="+mn-lt"/>
            </a:endParaRPr>
          </a:p>
        </xdr:txBody>
      </xdr:sp>
      <xdr:pic>
        <xdr:nvPicPr>
          <xdr:cNvPr id="99" name="Gráfico 147" descr="Óculo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586740</xdr:colOff>
      <xdr:row>19</xdr:row>
      <xdr:rowOff>76200</xdr:rowOff>
    </xdr:from>
    <xdr:to>
      <xdr:col>1</xdr:col>
      <xdr:colOff>2486012</xdr:colOff>
      <xdr:row>22</xdr:row>
      <xdr:rowOff>40387</xdr:rowOff>
    </xdr:to>
    <xdr:sp macro="" textlink="">
      <xdr:nvSpPr>
        <xdr:cNvPr id="100" name="bt_Desça" descr="Desça para ver mais detalhes">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editAs="absolute">
    <xdr:from>
      <xdr:col>0</xdr:col>
      <xdr:colOff>331470</xdr:colOff>
      <xdr:row>23</xdr:row>
      <xdr:rowOff>49528</xdr:rowOff>
    </xdr:from>
    <xdr:to>
      <xdr:col>1</xdr:col>
      <xdr:colOff>5219700</xdr:colOff>
      <xdr:row>55</xdr:row>
      <xdr:rowOff>60959</xdr:rowOff>
    </xdr:to>
    <xdr:grpSp>
      <xdr:nvGrpSpPr>
        <xdr:cNvPr id="31" name="Grupo 30">
          <a:extLst>
            <a:ext uri="{FF2B5EF4-FFF2-40B4-BE49-F238E27FC236}">
              <a16:creationId xmlns:a16="http://schemas.microsoft.com/office/drawing/2014/main" id="{D5949D2E-3383-4D0F-B2BE-8F45CB07F6DF}"/>
            </a:ext>
          </a:extLst>
        </xdr:cNvPr>
        <xdr:cNvGrpSpPr/>
      </xdr:nvGrpSpPr>
      <xdr:grpSpPr>
        <a:xfrm>
          <a:off x="329565" y="4871083"/>
          <a:ext cx="5756910" cy="5901691"/>
          <a:chOff x="333375" y="5000623"/>
          <a:chExt cx="5734050" cy="6217141"/>
        </a:xfrm>
      </xdr:grpSpPr>
      <xdr:sp macro="" textlink="">
        <xdr:nvSpPr>
          <xdr:cNvPr id="101" name="txt_FundoDaApresentação" descr="Fundo">
            <a:extLst>
              <a:ext uri="{FF2B5EF4-FFF2-40B4-BE49-F238E27FC236}">
                <a16:creationId xmlns:a16="http://schemas.microsoft.com/office/drawing/2014/main" id="{D30CE2FF-D296-4C22-A916-909B28036CE0}"/>
              </a:ext>
            </a:extLst>
          </xdr:cNvPr>
          <xdr:cNvSpPr/>
        </xdr:nvSpPr>
        <xdr:spPr>
          <a:xfrm>
            <a:off x="333375" y="5000623"/>
            <a:ext cx="5734050" cy="621714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CabeçalhoDaApresentação" descr="A instrução SE com outra função">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 instrução SE com outra função</a:t>
            </a:r>
          </a:p>
        </xdr:txBody>
      </xdr:sp>
      <xdr:cxnSp macro="">
        <xdr:nvCxnSpPr>
          <xdr:cNvPr id="103" name="txt_Linha1DaApresentação" descr="Linha decorativa">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Linha2DaApresentação" descr="Linha decorativa">
            <a:extLst>
              <a:ext uri="{FF2B5EF4-FFF2-40B4-BE49-F238E27FC236}">
                <a16:creationId xmlns:a16="http://schemas.microsoft.com/office/drawing/2014/main" id="{8891E0FB-F07B-444F-B967-54078E830D13}"/>
              </a:ext>
            </a:extLst>
          </xdr:cNvPr>
          <xdr:cNvCxnSpPr>
            <a:cxnSpLocks/>
          </xdr:cNvCxnSpPr>
        </xdr:nvCxnSpPr>
        <xdr:spPr>
          <a:xfrm>
            <a:off x="546103" y="1046441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IntroduçãoDaApresentação" descr="As instruções SE também podem forçar a execução de mais cálculos se for cumprida determinada condição. Aqui, vamos avaliar uma célula para ver se o Imposto Sobre Vendas deverá ser alterado e calculá-lo se a condição for verdadeira.&#10;&#10;">
            <a:extLst>
              <a:ext uri="{FF2B5EF4-FFF2-40B4-BE49-F238E27FC236}">
                <a16:creationId xmlns:a16="http://schemas.microsoft.com/office/drawing/2014/main" id="{ADFF8084-9F56-49BC-A834-D77F4DF98649}"/>
              </a:ext>
            </a:extLst>
          </xdr:cNvPr>
          <xdr:cNvSpPr txBox="1"/>
        </xdr:nvSpPr>
        <xdr:spPr>
          <a:xfrm>
            <a:off x="571663" y="5716150"/>
            <a:ext cx="5251444" cy="70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As instruções SE também podem forçar a execução de mais cálculos se for cumprida determinada condição. Aqui, vamos avaliar uma célula para ver se o Imposto Sobre Vendas deverá ser alterado, e calculá-lo se a condição for verdadeira.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Passo">
            <a:extLst>
              <a:ext uri="{FF2B5EF4-FFF2-40B4-BE49-F238E27FC236}">
                <a16:creationId xmlns:a16="http://schemas.microsoft.com/office/drawing/2014/main" id="{5CDE601E-EF9E-420E-80FC-F58C2BA9720A}"/>
              </a:ext>
            </a:extLst>
          </xdr:cNvPr>
          <xdr:cNvGrpSpPr/>
        </xdr:nvGrpSpPr>
        <xdr:grpSpPr>
          <a:xfrm>
            <a:off x="561975" y="6486525"/>
            <a:ext cx="5295900" cy="1279392"/>
            <a:chOff x="581211" y="7810500"/>
            <a:chExt cx="5261541" cy="1279392"/>
          </a:xfrm>
        </xdr:grpSpPr>
        <xdr:sp macro="" textlink="">
          <xdr:nvSpPr>
            <xdr:cNvPr id="107" name="txt_Passo"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7"/>
              <a:ext cx="4844383" cy="1237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F33, introduzimos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=SE(E33="Sim";F31*ImpostoSobreVendas;0)</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em que ImpostoSobreVendas está configurado como um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com Nome</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com o valor 0,0825. A nossa fórmula diz: se a célula E33 for igual a Sim, então multiplicar a célula F31 pelo ImpostoSobreVendas, caso contrário devolver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Experimente alterar Sim para Não na célula E33 para ver a alteração do cálculo.</a:t>
              </a:r>
            </a:p>
          </xdr:txBody>
        </xdr:sp>
        <xdr:sp macro="" textlink="">
          <xdr:nvSpPr>
            <xdr:cNvPr id="108" name="shp_Passo"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109" name="grp_Passo">
            <a:extLst>
              <a:ext uri="{FF2B5EF4-FFF2-40B4-BE49-F238E27FC236}">
                <a16:creationId xmlns:a16="http://schemas.microsoft.com/office/drawing/2014/main" id="{BFF24217-919E-4D15-B472-AB89F019AF8E}"/>
              </a:ext>
            </a:extLst>
          </xdr:cNvPr>
          <xdr:cNvGrpSpPr/>
        </xdr:nvGrpSpPr>
        <xdr:grpSpPr>
          <a:xfrm>
            <a:off x="561975" y="7772527"/>
            <a:ext cx="5229626" cy="1128116"/>
            <a:chOff x="581211" y="7924927"/>
            <a:chExt cx="5195697" cy="1128116"/>
          </a:xfrm>
        </xdr:grpSpPr>
        <xdr:sp macro="" textlink="">
          <xdr:nvSpPr>
            <xdr:cNvPr id="110" name="txt_Passo" descr="Em seguida, adicionámos uma instrução SE para calcular os custos de envio, se necessário. Na célula F35 pode ver =SE(E35=&quot;Sim&quot;;SOMA(D28:D29)*1,25;0). Traduzindo: &quot;se a célula E35 for igual a Sim, então utilizar o resultado da soma da coluna Quantidade na tabela acima e multiplicá-lo por 1,25, caso contrário devolver 0&quot;.&#10;">
              <a:extLst>
                <a:ext uri="{FF2B5EF4-FFF2-40B4-BE49-F238E27FC236}">
                  <a16:creationId xmlns:a16="http://schemas.microsoft.com/office/drawing/2014/main" id="{AEA982A9-56DB-413C-8C06-090FF22D1BCD}"/>
                </a:ext>
              </a:extLst>
            </xdr:cNvPr>
            <xdr:cNvSpPr txBox="1"/>
          </xdr:nvSpPr>
          <xdr:spPr>
            <a:xfrm>
              <a:off x="998369" y="7966886"/>
              <a:ext cx="4778539" cy="1086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adicionámos uma instrução SE para calcular os custos de envio, se necessário. Na célula F35 pode ver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=SE(E35="Sim";SOMA(D28:D29)*1,25;0).</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Traduzindo: "se a célula E35 for igual a Sim, então utilizar o resultado da soma da coluna Quantidade na tabela acima e multiplicá-lo por 1,25, caso contrário devolver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Passo" descr="2">
              <a:extLst>
                <a:ext uri="{FF2B5EF4-FFF2-40B4-BE49-F238E27FC236}">
                  <a16:creationId xmlns:a16="http://schemas.microsoft.com/office/drawing/2014/main" id="{BCCAD99D-66BF-4E4A-8BE8-EB9E7692B65E}"/>
                </a:ext>
              </a:extLst>
            </xdr:cNvPr>
            <xdr:cNvSpPr/>
          </xdr:nvSpPr>
          <xdr:spPr>
            <a:xfrm>
              <a:off x="581211" y="7924927"/>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112" name="grp_Passo">
            <a:extLst>
              <a:ext uri="{FF2B5EF4-FFF2-40B4-BE49-F238E27FC236}">
                <a16:creationId xmlns:a16="http://schemas.microsoft.com/office/drawing/2014/main" id="{BF6B2B89-C936-492B-9E7C-BBD3854AF4D9}"/>
              </a:ext>
            </a:extLst>
          </xdr:cNvPr>
          <xdr:cNvGrpSpPr/>
        </xdr:nvGrpSpPr>
        <xdr:grpSpPr>
          <a:xfrm>
            <a:off x="561975" y="8877638"/>
            <a:ext cx="5229626" cy="1558216"/>
            <a:chOff x="581211" y="8115638"/>
            <a:chExt cx="5195697" cy="1558216"/>
          </a:xfrm>
        </xdr:grpSpPr>
        <xdr:sp macro="" textlink="">
          <xdr:nvSpPr>
            <xdr:cNvPr id="113" name="txt_Passo" descr="Em seguida, altere o valor 1,25 na fórmula na célula F35 para &quot;Envio&quot;. Ao começar a escrever, a correção automática do Excel deverá encontrar o valor automaticamente. Quando o encontrar, prima a Tecla de Tabulação para introduzir o valor. Este é um Intervalo com Nome e introduzimo-lo em Fórmulas &gt; Definir Nome. Agora, se precisar de alterar os seus custos de envio, só tem de o fazer num local e pode utilizar o nome Envio em qualquer sítio no livro.&#10;&#10;">
              <a:extLst>
                <a:ext uri="{FF2B5EF4-FFF2-40B4-BE49-F238E27FC236}">
                  <a16:creationId xmlns:a16="http://schemas.microsoft.com/office/drawing/2014/main" id="{A722657B-F5BE-4EA5-BAAE-C570DA0E3B71}"/>
                </a:ext>
              </a:extLst>
            </xdr:cNvPr>
            <xdr:cNvSpPr txBox="1"/>
          </xdr:nvSpPr>
          <xdr:spPr>
            <a:xfrm>
              <a:off x="998369" y="8157597"/>
              <a:ext cx="4778539" cy="1516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altere o valor 1,25 da fórmula na célula F35 para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Envio"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Ao começar a escrever, a correção automática do Excel deverá encontrar o valor automaticamente. Quando o encontrar, prima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Tecla de Tabulação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introduzir o valor. Este é um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com Nome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introduzimo-lo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Definir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Agora, se precisar de alterar os seus custos de envio, só tem de o fazer num local e pode utilizar o nome Envio em qualquer sítio no livro.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Passo" descr="3">
              <a:extLst>
                <a:ext uri="{FF2B5EF4-FFF2-40B4-BE49-F238E27FC236}">
                  <a16:creationId xmlns:a16="http://schemas.microsoft.com/office/drawing/2014/main" id="{9DDD420D-C72F-4430-9995-3824DE1CAC4D}"/>
                </a:ext>
              </a:extLst>
            </xdr:cNvPr>
            <xdr:cNvSpPr/>
          </xdr:nvSpPr>
          <xdr:spPr>
            <a:xfrm>
              <a:off x="581211" y="8115638"/>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548640</xdr:colOff>
      <xdr:row>52</xdr:row>
      <xdr:rowOff>125730</xdr:rowOff>
    </xdr:from>
    <xdr:to>
      <xdr:col>1</xdr:col>
      <xdr:colOff>978554</xdr:colOff>
      <xdr:row>54</xdr:row>
      <xdr:rowOff>78274</xdr:rowOff>
    </xdr:to>
    <xdr:sp macro="" textlink="">
      <xdr:nvSpPr>
        <xdr:cNvPr id="115" name="BotãoAnterior" descr="Regressar à folha anterior">
          <a:hlinkClick xmlns:r="http://schemas.openxmlformats.org/officeDocument/2006/relationships" r:id="rId10" tooltip="Clique aqui para voltar à folha anterior"/>
          <a:extLst>
            <a:ext uri="{FF2B5EF4-FFF2-40B4-BE49-F238E27FC236}">
              <a16:creationId xmlns:a16="http://schemas.microsoft.com/office/drawing/2014/main" id="{F139BCB5-BA52-4BA9-B27E-80EDF1CA9815}"/>
            </a:ext>
          </a:extLst>
        </xdr:cNvPr>
        <xdr:cNvSpPr/>
      </xdr:nvSpPr>
      <xdr:spPr>
        <a:xfrm flipH="1">
          <a:off x="552450" y="1070610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3680262</xdr:colOff>
      <xdr:row>52</xdr:row>
      <xdr:rowOff>125730</xdr:rowOff>
    </xdr:from>
    <xdr:to>
      <xdr:col>1</xdr:col>
      <xdr:colOff>4961711</xdr:colOff>
      <xdr:row>54</xdr:row>
      <xdr:rowOff>78274</xdr:rowOff>
    </xdr:to>
    <xdr:sp macro="" textlink="">
      <xdr:nvSpPr>
        <xdr:cNvPr id="116" name="BotãoSeguinte" descr="Avançar para a folha seguinte">
          <a:hlinkClick xmlns:r="http://schemas.openxmlformats.org/officeDocument/2006/relationships" r:id="rId1" tooltip="Clique aqui para avançar para a folha de cálculo seguinte"/>
          <a:extLst>
            <a:ext uri="{FF2B5EF4-FFF2-40B4-BE49-F238E27FC236}">
              <a16:creationId xmlns:a16="http://schemas.microsoft.com/office/drawing/2014/main" id="{BBF61831-9570-4211-818C-38318F38D015}"/>
            </a:ext>
          </a:extLst>
        </xdr:cNvPr>
        <xdr:cNvSpPr/>
      </xdr:nvSpPr>
      <xdr:spPr>
        <a:xfrm>
          <a:off x="4531797" y="1070610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354330</xdr:colOff>
      <xdr:row>55</xdr:row>
      <xdr:rowOff>152400</xdr:rowOff>
    </xdr:from>
    <xdr:to>
      <xdr:col>1</xdr:col>
      <xdr:colOff>5241798</xdr:colOff>
      <xdr:row>69</xdr:row>
      <xdr:rowOff>15240</xdr:rowOff>
    </xdr:to>
    <xdr:grpSp>
      <xdr:nvGrpSpPr>
        <xdr:cNvPr id="117" name="Grupo 116">
          <a:extLst>
            <a:ext uri="{FF2B5EF4-FFF2-40B4-BE49-F238E27FC236}">
              <a16:creationId xmlns:a16="http://schemas.microsoft.com/office/drawing/2014/main" id="{A4810020-C4C7-483B-BB90-6111CE7B8559}"/>
            </a:ext>
          </a:extLst>
        </xdr:cNvPr>
        <xdr:cNvGrpSpPr/>
      </xdr:nvGrpSpPr>
      <xdr:grpSpPr>
        <a:xfrm>
          <a:off x="358140" y="10868025"/>
          <a:ext cx="5746623" cy="2400300"/>
          <a:chOff x="352425" y="10715625"/>
          <a:chExt cx="5733288" cy="2390775"/>
        </a:xfrm>
      </xdr:grpSpPr>
      <xdr:sp macro="" textlink="">
        <xdr:nvSpPr>
          <xdr:cNvPr id="118" name="Retângulo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Passo" descr="Mais informações na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Conexão Reta 120" descr="Linha decorativa">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Conexão Reta 71" descr="Linha decorativa">
            <a:extLst>
              <a:ext uri="{FF2B5EF4-FFF2-40B4-BE49-F238E27FC236}">
                <a16:creationId xmlns:a16="http://schemas.microsoft.com/office/drawing/2014/main" id="{C5EC57CE-9B46-46D7-8D21-0D9415D893AF}"/>
              </a:ext>
            </a:extLst>
          </xdr:cNvPr>
          <xdr:cNvCxnSpPr>
            <a:cxnSpLocks/>
          </xdr:cNvCxnSpPr>
        </xdr:nvCxnSpPr>
        <xdr:spPr>
          <a:xfrm>
            <a:off x="544407" y="1131312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Conexão Reta 72" descr="Linha decorativa">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560501</xdr:colOff>
      <xdr:row>59</xdr:row>
      <xdr:rowOff>85174</xdr:rowOff>
    </xdr:from>
    <xdr:to>
      <xdr:col>1</xdr:col>
      <xdr:colOff>2579370</xdr:colOff>
      <xdr:row>61</xdr:row>
      <xdr:rowOff>57538</xdr:rowOff>
    </xdr:to>
    <xdr:grpSp>
      <xdr:nvGrpSpPr>
        <xdr:cNvPr id="30" name="Grupo 29">
          <a:extLst>
            <a:ext uri="{FF2B5EF4-FFF2-40B4-BE49-F238E27FC236}">
              <a16:creationId xmlns:a16="http://schemas.microsoft.com/office/drawing/2014/main" id="{734055A1-8444-407E-B760-0BF685C60AE8}"/>
            </a:ext>
          </a:extLst>
        </xdr:cNvPr>
        <xdr:cNvGrpSpPr/>
      </xdr:nvGrpSpPr>
      <xdr:grpSpPr>
        <a:xfrm>
          <a:off x="558596" y="11526604"/>
          <a:ext cx="2885644" cy="328599"/>
          <a:chOff x="562406" y="11418019"/>
          <a:chExt cx="2866594" cy="359079"/>
        </a:xfrm>
      </xdr:grpSpPr>
      <xdr:sp macro="" textlink="">
        <xdr:nvSpPr>
          <xdr:cNvPr id="122" name="Passo" descr="Tudo sobre a função SE, com hiperligação para a Web&#10;&#10;">
            <a:hlinkClick xmlns:r="http://schemas.openxmlformats.org/officeDocument/2006/relationships" r:id="rId11" tooltip="Selecione para aceder à Web e saber tudo sobre a função SE"/>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p>
        </xdr:txBody>
      </xdr:sp>
      <xdr:pic>
        <xdr:nvPicPr>
          <xdr:cNvPr id="123" name="Gráfico 22" descr="Seta">
            <a:hlinkClick xmlns:r="http://schemas.openxmlformats.org/officeDocument/2006/relationships" r:id="rId11" tooltip="Selecione para obter mais informações na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560501</xdr:colOff>
      <xdr:row>61</xdr:row>
      <xdr:rowOff>77335</xdr:rowOff>
    </xdr:from>
    <xdr:to>
      <xdr:col>1</xdr:col>
      <xdr:colOff>2606040</xdr:colOff>
      <xdr:row>63</xdr:row>
      <xdr:rowOff>56914</xdr:rowOff>
    </xdr:to>
    <xdr:grpSp>
      <xdr:nvGrpSpPr>
        <xdr:cNvPr id="29" name="Grupo 28">
          <a:extLst>
            <a:ext uri="{FF2B5EF4-FFF2-40B4-BE49-F238E27FC236}">
              <a16:creationId xmlns:a16="http://schemas.microsoft.com/office/drawing/2014/main" id="{B13CA61E-C0BF-4685-82BB-1ADFEB7A3BE0}"/>
            </a:ext>
          </a:extLst>
        </xdr:cNvPr>
        <xdr:cNvGrpSpPr/>
      </xdr:nvGrpSpPr>
      <xdr:grpSpPr>
        <a:xfrm>
          <a:off x="558596" y="11878810"/>
          <a:ext cx="2918029" cy="345339"/>
          <a:chOff x="562406" y="11793085"/>
          <a:chExt cx="2895169" cy="364389"/>
        </a:xfrm>
      </xdr:grpSpPr>
      <xdr:sp macro="" textlink="">
        <xdr:nvSpPr>
          <xdr:cNvPr id="124" name="Passo" descr="Tudo sobre a função SE.S, com hiperligação para a Web&#10;">
            <a:hlinkClick xmlns:r="http://schemas.openxmlformats.org/officeDocument/2006/relationships" r:id="rId14" tooltip="Selecione para aceder à Web e saber tudo sobre a função SE.S"/>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SE.S</a:t>
            </a:r>
          </a:p>
        </xdr:txBody>
      </xdr:sp>
      <xdr:pic>
        <xdr:nvPicPr>
          <xdr:cNvPr id="125" name="Gráfico 22" descr="Seta">
            <a:hlinkClick xmlns:r="http://schemas.openxmlformats.org/officeDocument/2006/relationships" r:id="rId14" tooltip="Selecione para obter mais informações na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560501</xdr:colOff>
      <xdr:row>65</xdr:row>
      <xdr:rowOff>106348</xdr:rowOff>
    </xdr:from>
    <xdr:to>
      <xdr:col>1</xdr:col>
      <xdr:colOff>3211830</xdr:colOff>
      <xdr:row>67</xdr:row>
      <xdr:rowOff>95452</xdr:rowOff>
    </xdr:to>
    <xdr:grpSp>
      <xdr:nvGrpSpPr>
        <xdr:cNvPr id="20" name="Grupo 19">
          <a:extLst>
            <a:ext uri="{FF2B5EF4-FFF2-40B4-BE49-F238E27FC236}">
              <a16:creationId xmlns:a16="http://schemas.microsoft.com/office/drawing/2014/main" id="{0552D274-B7DD-441F-82AB-F9C18F3F1907}"/>
            </a:ext>
          </a:extLst>
        </xdr:cNvPr>
        <xdr:cNvGrpSpPr/>
      </xdr:nvGrpSpPr>
      <xdr:grpSpPr>
        <a:xfrm>
          <a:off x="558596" y="12629818"/>
          <a:ext cx="3523819" cy="349149"/>
          <a:chOff x="562406" y="12586003"/>
          <a:chExt cx="3495244" cy="364389"/>
        </a:xfrm>
      </xdr:grpSpPr>
      <xdr:sp macro="" textlink="">
        <xdr:nvSpPr>
          <xdr:cNvPr id="126" name="Passo" descr="Formação online gratuita do Excel, com hiperligação para a Web&#10;">
            <a:hlinkClick xmlns:r="http://schemas.openxmlformats.org/officeDocument/2006/relationships" r:id="rId15" tooltip="Selecione para aceder à Web e obter formação online gratuita do Excel"/>
            <a:extLst>
              <a:ext uri="{FF2B5EF4-FFF2-40B4-BE49-F238E27FC236}">
                <a16:creationId xmlns:a16="http://schemas.microsoft.com/office/drawing/2014/main" id="{7825C514-8FA2-4A6D-AF39-649B9CAF9255}"/>
              </a:ext>
            </a:extLst>
          </xdr:cNvPr>
          <xdr:cNvSpPr txBox="1"/>
        </xdr:nvSpPr>
        <xdr:spPr>
          <a:xfrm>
            <a:off x="1040199" y="12637107"/>
            <a:ext cx="301745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27" name="Gráfico 22" descr="Seta">
            <a:hlinkClick xmlns:r="http://schemas.openxmlformats.org/officeDocument/2006/relationships" r:id="rId15" tooltip="Selecione para obter mais informações na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560501</xdr:colOff>
      <xdr:row>63</xdr:row>
      <xdr:rowOff>76711</xdr:rowOff>
    </xdr:from>
    <xdr:to>
      <xdr:col>1</xdr:col>
      <xdr:colOff>2606040</xdr:colOff>
      <xdr:row>65</xdr:row>
      <xdr:rowOff>56290</xdr:rowOff>
    </xdr:to>
    <xdr:grpSp>
      <xdr:nvGrpSpPr>
        <xdr:cNvPr id="25" name="Grupo 24">
          <a:extLst>
            <a:ext uri="{FF2B5EF4-FFF2-40B4-BE49-F238E27FC236}">
              <a16:creationId xmlns:a16="http://schemas.microsoft.com/office/drawing/2014/main" id="{F1DB9CDB-5B09-4600-8014-FE097D5CAA92}"/>
            </a:ext>
          </a:extLst>
        </xdr:cNvPr>
        <xdr:cNvGrpSpPr/>
      </xdr:nvGrpSpPr>
      <xdr:grpSpPr>
        <a:xfrm>
          <a:off x="558596" y="12240136"/>
          <a:ext cx="2918029" cy="345339"/>
          <a:chOff x="562406" y="12173461"/>
          <a:chExt cx="2895169" cy="364389"/>
        </a:xfrm>
      </xdr:grpSpPr>
      <xdr:sp macro="" textlink="">
        <xdr:nvSpPr>
          <xdr:cNvPr id="128" name="Passo" descr="Instruções SE avançadas, com hiperligação para a Web&#10;">
            <a:hlinkClick xmlns:r="http://schemas.openxmlformats.org/officeDocument/2006/relationships" r:id="rId16" tooltip="Selecione para aceder à Web e saber tudo sobre as instruções SE avançadas"/>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Instruções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avançadas</a:t>
            </a:r>
          </a:p>
        </xdr:txBody>
      </xdr:sp>
      <xdr:pic>
        <xdr:nvPicPr>
          <xdr:cNvPr id="129" name="Gráfico 22" descr="Seta">
            <a:hlinkClick xmlns:r="http://schemas.openxmlformats.org/officeDocument/2006/relationships" r:id="rId16" tooltip="Selecione para obter mais informações na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407310</xdr:colOff>
      <xdr:row>59</xdr:row>
      <xdr:rowOff>136884</xdr:rowOff>
    </xdr:to>
    <xdr:pic>
      <xdr:nvPicPr>
        <xdr:cNvPr id="2" name="Imagem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6791325" y="9839325"/>
          <a:ext cx="2876190" cy="22095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FundoDaApresentação" descr="Fundo">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CabeçalhoDaApresentação" descr="PROCV">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PROCV</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Linha1DaApresentação" descr="Linha decorativa">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27</xdr:row>
      <xdr:rowOff>73529</xdr:rowOff>
    </xdr:from>
    <xdr:to>
      <xdr:col>1</xdr:col>
      <xdr:colOff>4976799</xdr:colOff>
      <xdr:row>27</xdr:row>
      <xdr:rowOff>73529</xdr:rowOff>
    </xdr:to>
    <xdr:cxnSp macro="">
      <xdr:nvCxnSpPr>
        <xdr:cNvPr id="84" name="txt_Linha2DaApresentação" descr="Linha decorativa">
          <a:extLst>
            <a:ext uri="{FF2B5EF4-FFF2-40B4-BE49-F238E27FC236}">
              <a16:creationId xmlns:a16="http://schemas.microsoft.com/office/drawing/2014/main" id="{9A557736-21EE-450F-A993-CC32130FE9FB}"/>
            </a:ext>
          </a:extLst>
        </xdr:cNvPr>
        <xdr:cNvCxnSpPr>
          <a:cxnSpLocks/>
        </xdr:cNvCxnSpPr>
      </xdr:nvCxnSpPr>
      <xdr:spPr>
        <a:xfrm>
          <a:off x="576276" y="57885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4953000</xdr:colOff>
      <xdr:row>6</xdr:row>
      <xdr:rowOff>0</xdr:rowOff>
    </xdr:to>
    <xdr:sp macro="" textlink="">
      <xdr:nvSpPr>
        <xdr:cNvPr id="85" name="txt_IntroduçãoDaApresentação" descr="A função PROCV é das mais utilizadas no Excel (e uma das nossas favoritas!). A função PROCV permite-lhe procurar um valor numa coluna à esquerda e, em seguida, devolve informações numa coluna à direita, se encontrar correspondência. A função PROCV indica:&#10;&#10;">
          <a:extLst>
            <a:ext uri="{FF2B5EF4-FFF2-40B4-BE49-F238E27FC236}">
              <a16:creationId xmlns:a16="http://schemas.microsoft.com/office/drawing/2014/main" id="{F9326461-020C-4B3F-9364-21D592985D33}"/>
            </a:ext>
          </a:extLst>
        </xdr:cNvPr>
        <xdr:cNvSpPr txBox="1"/>
      </xdr:nvSpPr>
      <xdr:spPr>
        <a:xfrm>
          <a:off x="571663" y="1062116"/>
          <a:ext cx="5229062" cy="652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 função PROCV é das mais utilizadas no Excel (e uma das nossas favoritas!). A função PROCV permite-lhe procurar um valor numa coluna à esquerda e, em seguida, devolve informações numa coluna à direita, se encontrar correspondência. A função PROCV diz:</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600144</xdr:colOff>
      <xdr:row>20</xdr:row>
      <xdr:rowOff>90463</xdr:rowOff>
    </xdr:from>
    <xdr:to>
      <xdr:col>1</xdr:col>
      <xdr:colOff>4991587</xdr:colOff>
      <xdr:row>24</xdr:row>
      <xdr:rowOff>38100</xdr:rowOff>
    </xdr:to>
    <xdr:grpSp>
      <xdr:nvGrpSpPr>
        <xdr:cNvPr id="3" name="Grupo 2">
          <a:extLst>
            <a:ext uri="{FF2B5EF4-FFF2-40B4-BE49-F238E27FC236}">
              <a16:creationId xmlns:a16="http://schemas.microsoft.com/office/drawing/2014/main" id="{A668747A-127E-4399-9A99-C2F143BEE89C}"/>
            </a:ext>
          </a:extLst>
        </xdr:cNvPr>
        <xdr:cNvGrpSpPr/>
      </xdr:nvGrpSpPr>
      <xdr:grpSpPr>
        <a:xfrm>
          <a:off x="598239" y="4475773"/>
          <a:ext cx="5260123" cy="705827"/>
          <a:chOff x="561975" y="4357663"/>
          <a:chExt cx="5229626" cy="709637"/>
        </a:xfrm>
      </xdr:grpSpPr>
      <xdr:sp macro="" textlink="">
        <xdr:nvSpPr>
          <xdr:cNvPr id="87" name="txt_Passo" descr="Na célula D22, introduza =PROCV(C22;C17:D20;2;FALSO). A resposta correta para Maçãs é 50. A função PROCV procurou o valor Maçãs, localizou-o e, em seguida, analisou a coluna da direita e devolveu a quantidade.&#10;&#10;">
            <a:extLst>
              <a:ext uri="{FF2B5EF4-FFF2-40B4-BE49-F238E27FC236}">
                <a16:creationId xmlns:a16="http://schemas.microsoft.com/office/drawing/2014/main" id="{86ABB85B-8210-41EF-B43E-824CD9F5377E}"/>
              </a:ext>
            </a:extLst>
          </xdr:cNvPr>
          <xdr:cNvSpPr txBox="1"/>
        </xdr:nvSpPr>
        <xdr:spPr>
          <a:xfrm>
            <a:off x="981857" y="4399621"/>
            <a:ext cx="4809744" cy="6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D22, introduza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=PROCV(C22;C17:D20;2;FALSO). </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resposta correta para Maçãs é 50. A função PROCV procurou o valor Maçãs, localizou-o e, em seguida, analisou a coluna da direita e devolveu a quantidade.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Passo"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24</xdr:row>
      <xdr:rowOff>42838</xdr:rowOff>
    </xdr:from>
    <xdr:to>
      <xdr:col>1</xdr:col>
      <xdr:colOff>4943876</xdr:colOff>
      <xdr:row>27</xdr:row>
      <xdr:rowOff>67545</xdr:rowOff>
    </xdr:to>
    <xdr:grpSp>
      <xdr:nvGrpSpPr>
        <xdr:cNvPr id="2" name="Grupo 1">
          <a:extLst>
            <a:ext uri="{FF2B5EF4-FFF2-40B4-BE49-F238E27FC236}">
              <a16:creationId xmlns:a16="http://schemas.microsoft.com/office/drawing/2014/main" id="{7248ACEA-EF5C-407C-9476-B09DAE8F48D8}"/>
            </a:ext>
          </a:extLst>
        </xdr:cNvPr>
        <xdr:cNvGrpSpPr/>
      </xdr:nvGrpSpPr>
      <xdr:grpSpPr>
        <a:xfrm>
          <a:off x="560070" y="5188243"/>
          <a:ext cx="5248676" cy="592397"/>
          <a:chOff x="523875" y="5072038"/>
          <a:chExt cx="5220101" cy="596207"/>
        </a:xfrm>
      </xdr:grpSpPr>
      <xdr:sp macro="" textlink="">
        <xdr:nvSpPr>
          <xdr:cNvPr id="90" name="txt_Passo" descr="Agora, experimente na secção Carne, na célula G22. Deverá introduzir a fórmula =PROCV(F22;F17:G20;2;FALSO).&#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 experimente na secção Carne, na célula G22. Deverá introduzir a fórmula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=PROCV(F22;F17:G20;2;FALSO).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Passo"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3678921</xdr:colOff>
      <xdr:row>28</xdr:row>
      <xdr:rowOff>54268</xdr:rowOff>
    </xdr:from>
    <xdr:to>
      <xdr:col>1</xdr:col>
      <xdr:colOff>4969331</xdr:colOff>
      <xdr:row>30</xdr:row>
      <xdr:rowOff>16337</xdr:rowOff>
    </xdr:to>
    <xdr:sp macro="" textlink="">
      <xdr:nvSpPr>
        <xdr:cNvPr id="92" name="BotãoSeguinte" descr="Avançar para a folha seguinte">
          <a:hlinkClick xmlns:r="http://schemas.openxmlformats.org/officeDocument/2006/relationships" r:id="rId1" tooltip="Clique aqui para avançar para a folha de cálculo seguinte"/>
          <a:extLst>
            <a:ext uri="{FF2B5EF4-FFF2-40B4-BE49-F238E27FC236}">
              <a16:creationId xmlns:a16="http://schemas.microsoft.com/office/drawing/2014/main" id="{36902CA8-91B2-4B89-B6B0-496D7B8D6012}"/>
            </a:ext>
          </a:extLst>
        </xdr:cNvPr>
        <xdr:cNvSpPr/>
      </xdr:nvSpPr>
      <xdr:spPr>
        <a:xfrm>
          <a:off x="4532361" y="59673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xdr:from>
      <xdr:col>0</xdr:col>
      <xdr:colOff>333375</xdr:colOff>
      <xdr:row>63</xdr:row>
      <xdr:rowOff>152371</xdr:rowOff>
    </xdr:from>
    <xdr:to>
      <xdr:col>1</xdr:col>
      <xdr:colOff>5218938</xdr:colOff>
      <xdr:row>80</xdr:row>
      <xdr:rowOff>9524</xdr:rowOff>
    </xdr:to>
    <xdr:grpSp>
      <xdr:nvGrpSpPr>
        <xdr:cNvPr id="93" name="Grupo 92">
          <a:extLst>
            <a:ext uri="{FF2B5EF4-FFF2-40B4-BE49-F238E27FC236}">
              <a16:creationId xmlns:a16="http://schemas.microsoft.com/office/drawing/2014/main" id="{6AD4BB42-C99A-40EC-9E51-AFE390CD9507}"/>
            </a:ext>
          </a:extLst>
        </xdr:cNvPr>
        <xdr:cNvGrpSpPr/>
      </xdr:nvGrpSpPr>
      <xdr:grpSpPr>
        <a:xfrm>
          <a:off x="331470" y="12725371"/>
          <a:ext cx="5754243" cy="3097558"/>
          <a:chOff x="0" y="5524499"/>
          <a:chExt cx="5695950" cy="3095653"/>
        </a:xfrm>
      </xdr:grpSpPr>
      <xdr:sp macro="" textlink="">
        <xdr:nvSpPr>
          <xdr:cNvPr id="94" name="Retângulo 93">
            <a:extLst>
              <a:ext uri="{FF2B5EF4-FFF2-40B4-BE49-F238E27FC236}">
                <a16:creationId xmlns:a16="http://schemas.microsoft.com/office/drawing/2014/main" id="{CB220E95-575B-4BFE-A97A-4AFC50F13B21}"/>
              </a:ext>
            </a:extLst>
          </xdr:cNvPr>
          <xdr:cNvSpPr/>
        </xdr:nvSpPr>
        <xdr:spPr>
          <a:xfrm>
            <a:off x="0" y="5524499"/>
            <a:ext cx="5695950" cy="30956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5" name="Passo" descr="Mais informações na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Conexão Reta 95" descr="Linha decorativa">
            <a:extLst>
              <a:ext uri="{FF2B5EF4-FFF2-40B4-BE49-F238E27FC236}">
                <a16:creationId xmlns:a16="http://schemas.microsoft.com/office/drawing/2014/main" id="{FC75038A-1A57-4810-A200-F441A155BA62}"/>
              </a:ext>
            </a:extLst>
          </xdr:cNvPr>
          <xdr:cNvCxnSpPr>
            <a:cxnSpLocks/>
          </xdr:cNvCxnSpPr>
        </xdr:nvCxnSpPr>
        <xdr:spPr>
          <a:xfrm>
            <a:off x="233234" y="616546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Conexão Reta 96" descr="Linha decorativa">
            <a:extLst>
              <a:ext uri="{FF2B5EF4-FFF2-40B4-BE49-F238E27FC236}">
                <a16:creationId xmlns:a16="http://schemas.microsoft.com/office/drawing/2014/main" id="{EAFBA7B8-06DC-4A15-A998-B588F058D108}"/>
              </a:ext>
            </a:extLst>
          </xdr:cNvPr>
          <xdr:cNvCxnSpPr>
            <a:cxnSpLocks/>
          </xdr:cNvCxnSpPr>
        </xdr:nvCxnSpPr>
        <xdr:spPr>
          <a:xfrm>
            <a:off x="233234" y="8340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67</xdr:row>
      <xdr:rowOff>149916</xdr:rowOff>
    </xdr:from>
    <xdr:to>
      <xdr:col>1</xdr:col>
      <xdr:colOff>2581275</xdr:colOff>
      <xdr:row>69</xdr:row>
      <xdr:rowOff>127995</xdr:rowOff>
    </xdr:to>
    <xdr:grpSp>
      <xdr:nvGrpSpPr>
        <xdr:cNvPr id="17" name="Grupo 16">
          <a:extLst>
            <a:ext uri="{FF2B5EF4-FFF2-40B4-BE49-F238E27FC236}">
              <a16:creationId xmlns:a16="http://schemas.microsoft.com/office/drawing/2014/main" id="{AA259A6F-5BA1-4BA7-97B7-539D915D1A18}"/>
            </a:ext>
          </a:extLst>
        </xdr:cNvPr>
        <xdr:cNvGrpSpPr/>
      </xdr:nvGrpSpPr>
      <xdr:grpSpPr>
        <a:xfrm>
          <a:off x="560501" y="13484916"/>
          <a:ext cx="2885644" cy="362889"/>
          <a:chOff x="562406" y="12494316"/>
          <a:chExt cx="2866594" cy="359079"/>
        </a:xfrm>
      </xdr:grpSpPr>
      <xdr:sp macro="" textlink="">
        <xdr:nvSpPr>
          <xdr:cNvPr id="98" name="Passo" descr="Tudo sobre a função PROCV, com hiperligação para a Web&#10;&#10;">
            <a:hlinkClick xmlns:r="http://schemas.openxmlformats.org/officeDocument/2006/relationships" r:id="rId2" tooltip="Selecione para aceder à Web e saber tudo sobre a função PROCV"/>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PROCV</a:t>
            </a:r>
          </a:p>
        </xdr:txBody>
      </xdr:sp>
      <xdr:pic>
        <xdr:nvPicPr>
          <xdr:cNvPr id="99" name="Gráfico 22" descr="Seta">
            <a:hlinkClick xmlns:r="http://schemas.openxmlformats.org/officeDocument/2006/relationships" r:id="rId2" tooltip="Selecione para obter mais informações na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69</xdr:row>
      <xdr:rowOff>155537</xdr:rowOff>
    </xdr:from>
    <xdr:to>
      <xdr:col>1</xdr:col>
      <xdr:colOff>2990850</xdr:colOff>
      <xdr:row>71</xdr:row>
      <xdr:rowOff>138926</xdr:rowOff>
    </xdr:to>
    <xdr:grpSp>
      <xdr:nvGrpSpPr>
        <xdr:cNvPr id="16" name="Grupo 15">
          <a:extLst>
            <a:ext uri="{FF2B5EF4-FFF2-40B4-BE49-F238E27FC236}">
              <a16:creationId xmlns:a16="http://schemas.microsoft.com/office/drawing/2014/main" id="{79235089-8072-43CC-BE8C-67B41C2F383F}"/>
            </a:ext>
          </a:extLst>
        </xdr:cNvPr>
        <xdr:cNvGrpSpPr/>
      </xdr:nvGrpSpPr>
      <xdr:grpSpPr>
        <a:xfrm>
          <a:off x="560501" y="13871537"/>
          <a:ext cx="3293314" cy="360579"/>
          <a:chOff x="562406" y="12880937"/>
          <a:chExt cx="3276169" cy="364389"/>
        </a:xfrm>
      </xdr:grpSpPr>
      <xdr:sp macro="" textlink="">
        <xdr:nvSpPr>
          <xdr:cNvPr id="100" name="Passo" descr="Tudo sobre as funções ÍNDICE/CORRESP, com hiperligação para a Web&#10;">
            <a:hlinkClick xmlns:r="http://schemas.openxmlformats.org/officeDocument/2006/relationships" r:id="rId5" tooltip="Selecione para aceder à Web e saber tudo sobre as funções ÍNDICE/CORRESP"/>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as </a:t>
            </a:r>
            <a:r>
              <a:rPr lang="pt-p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ÍNDICE/CORRESP</a:t>
            </a:r>
          </a:p>
        </xdr:txBody>
      </xdr:sp>
      <xdr:pic>
        <xdr:nvPicPr>
          <xdr:cNvPr id="101"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76</xdr:row>
      <xdr:rowOff>12975</xdr:rowOff>
    </xdr:from>
    <xdr:to>
      <xdr:col>1</xdr:col>
      <xdr:colOff>3143250</xdr:colOff>
      <xdr:row>77</xdr:row>
      <xdr:rowOff>186864</xdr:rowOff>
    </xdr:to>
    <xdr:grpSp>
      <xdr:nvGrpSpPr>
        <xdr:cNvPr id="6" name="Grupo 5">
          <a:extLst>
            <a:ext uri="{FF2B5EF4-FFF2-40B4-BE49-F238E27FC236}">
              <a16:creationId xmlns:a16="http://schemas.microsoft.com/office/drawing/2014/main" id="{5C999AAF-BC52-4D03-84CC-9A10F67B8111}"/>
            </a:ext>
          </a:extLst>
        </xdr:cNvPr>
        <xdr:cNvGrpSpPr/>
      </xdr:nvGrpSpPr>
      <xdr:grpSpPr>
        <a:xfrm>
          <a:off x="560501" y="15066285"/>
          <a:ext cx="3445714" cy="360579"/>
          <a:chOff x="562406" y="14071875"/>
          <a:chExt cx="3428569" cy="364389"/>
        </a:xfrm>
      </xdr:grpSpPr>
      <xdr:sp macro="" textlink="">
        <xdr:nvSpPr>
          <xdr:cNvPr id="102" name="Passo" descr="Formação online gratuita do Excel, com hiperligação para a Web&#10;">
            <a:hlinkClick xmlns:r="http://schemas.openxmlformats.org/officeDocument/2006/relationships" r:id="rId6" tooltip="Selecione para aceder à Web e saber tudo sobre a formação online gratuita do Excel"/>
            <a:extLst>
              <a:ext uri="{FF2B5EF4-FFF2-40B4-BE49-F238E27FC236}">
                <a16:creationId xmlns:a16="http://schemas.microsoft.com/office/drawing/2014/main" id="{4781BFBE-B5EC-40E0-B408-A2571FFF08DE}"/>
              </a:ext>
            </a:extLst>
          </xdr:cNvPr>
          <xdr:cNvSpPr txBox="1"/>
        </xdr:nvSpPr>
        <xdr:spPr>
          <a:xfrm>
            <a:off x="1040199" y="14151554"/>
            <a:ext cx="295077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103"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71</xdr:row>
      <xdr:rowOff>166468</xdr:rowOff>
    </xdr:from>
    <xdr:to>
      <xdr:col>1</xdr:col>
      <xdr:colOff>2609850</xdr:colOff>
      <xdr:row>73</xdr:row>
      <xdr:rowOff>149857</xdr:rowOff>
    </xdr:to>
    <xdr:grpSp>
      <xdr:nvGrpSpPr>
        <xdr:cNvPr id="8" name="Grupo 7">
          <a:extLst>
            <a:ext uri="{FF2B5EF4-FFF2-40B4-BE49-F238E27FC236}">
              <a16:creationId xmlns:a16="http://schemas.microsoft.com/office/drawing/2014/main" id="{F2122903-3464-4677-84BC-66087719FF0D}"/>
            </a:ext>
          </a:extLst>
        </xdr:cNvPr>
        <xdr:cNvGrpSpPr/>
      </xdr:nvGrpSpPr>
      <xdr:grpSpPr>
        <a:xfrm>
          <a:off x="560501" y="14267278"/>
          <a:ext cx="2912314" cy="360579"/>
          <a:chOff x="562406" y="13272868"/>
          <a:chExt cx="2895169" cy="364389"/>
        </a:xfrm>
      </xdr:grpSpPr>
      <xdr:sp macro="" textlink="">
        <xdr:nvSpPr>
          <xdr:cNvPr id="104" name="Passo" descr="Tudo sobre a função SE.ERRO, com hiperligação para a Web&#10;">
            <a:hlinkClick xmlns:r="http://schemas.openxmlformats.org/officeDocument/2006/relationships" r:id="rId7" tooltip="Selecione para aceder à Web e saber tudo sobre a função SE.ERRO"/>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SE.ERRO</a:t>
            </a:r>
          </a:p>
        </xdr:txBody>
      </xdr:sp>
      <xdr:pic>
        <xdr:nvPicPr>
          <xdr:cNvPr id="105"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73</xdr:row>
      <xdr:rowOff>177399</xdr:rowOff>
    </xdr:from>
    <xdr:to>
      <xdr:col>1</xdr:col>
      <xdr:colOff>4848225</xdr:colOff>
      <xdr:row>75</xdr:row>
      <xdr:rowOff>160788</xdr:rowOff>
    </xdr:to>
    <xdr:grpSp>
      <xdr:nvGrpSpPr>
        <xdr:cNvPr id="7" name="Grupo 6">
          <a:extLst>
            <a:ext uri="{FF2B5EF4-FFF2-40B4-BE49-F238E27FC236}">
              <a16:creationId xmlns:a16="http://schemas.microsoft.com/office/drawing/2014/main" id="{56B2B91D-B542-499E-8788-299E4FFAC823}"/>
            </a:ext>
          </a:extLst>
        </xdr:cNvPr>
        <xdr:cNvGrpSpPr/>
      </xdr:nvGrpSpPr>
      <xdr:grpSpPr>
        <a:xfrm>
          <a:off x="560501" y="14651589"/>
          <a:ext cx="5156404" cy="370104"/>
          <a:chOff x="562406" y="13664799"/>
          <a:chExt cx="5133544" cy="364389"/>
        </a:xfrm>
      </xdr:grpSpPr>
      <xdr:sp macro="" textlink="">
        <xdr:nvSpPr>
          <xdr:cNvPr id="106" name="Passo" descr="Utilizar tabelas dinâmicas para analisar dados de folhas de cálculo&#10;">
            <a:hlinkClick xmlns:r="http://schemas.openxmlformats.org/officeDocument/2006/relationships" r:id="rId8" tooltip="Selecione para aceder à Web e saber tudo sobre como criar uma tabela dinâmica para analisar dados de folhas de cálculo"/>
            <a:extLst>
              <a:ext uri="{FF2B5EF4-FFF2-40B4-BE49-F238E27FC236}">
                <a16:creationId xmlns:a16="http://schemas.microsoft.com/office/drawing/2014/main" id="{2E0B811D-CA68-487C-A6BB-4DE6198A877D}"/>
              </a:ext>
            </a:extLst>
          </xdr:cNvPr>
          <xdr:cNvSpPr txBox="1"/>
        </xdr:nvSpPr>
        <xdr:spPr>
          <a:xfrm>
            <a:off x="1027590" y="13727608"/>
            <a:ext cx="4668360"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Utilizar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Tabelas Dinâmicas</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analisar</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dados de folhas de cálculo</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28</xdr:row>
      <xdr:rowOff>54268</xdr:rowOff>
    </xdr:from>
    <xdr:to>
      <xdr:col>1</xdr:col>
      <xdr:colOff>2569832</xdr:colOff>
      <xdr:row>31</xdr:row>
      <xdr:rowOff>18455</xdr:rowOff>
    </xdr:to>
    <xdr:sp macro="" textlink="">
      <xdr:nvSpPr>
        <xdr:cNvPr id="116" name="bt_Desça" descr="Desça para ver mais detalhes">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9673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xdr:from>
      <xdr:col>0</xdr:col>
      <xdr:colOff>333375</xdr:colOff>
      <xdr:row>32</xdr:row>
      <xdr:rowOff>85697</xdr:rowOff>
    </xdr:from>
    <xdr:to>
      <xdr:col>1</xdr:col>
      <xdr:colOff>5219700</xdr:colOff>
      <xdr:row>63</xdr:row>
      <xdr:rowOff>47625</xdr:rowOff>
    </xdr:to>
    <xdr:grpSp>
      <xdr:nvGrpSpPr>
        <xdr:cNvPr id="117" name="Grupo 116">
          <a:extLst>
            <a:ext uri="{FF2B5EF4-FFF2-40B4-BE49-F238E27FC236}">
              <a16:creationId xmlns:a16="http://schemas.microsoft.com/office/drawing/2014/main" id="{13E6C982-6CD3-4F56-8160-7A99956655B4}"/>
            </a:ext>
          </a:extLst>
        </xdr:cNvPr>
        <xdr:cNvGrpSpPr/>
      </xdr:nvGrpSpPr>
      <xdr:grpSpPr>
        <a:xfrm>
          <a:off x="331470" y="6755102"/>
          <a:ext cx="5755005" cy="5867428"/>
          <a:chOff x="381000" y="6619847"/>
          <a:chExt cx="5734050" cy="5867428"/>
        </a:xfrm>
      </xdr:grpSpPr>
      <xdr:sp macro="" textlink="">
        <xdr:nvSpPr>
          <xdr:cNvPr id="118" name="txt_FundoDaApresentação" descr="Fundo">
            <a:extLst>
              <a:ext uri="{FF2B5EF4-FFF2-40B4-BE49-F238E27FC236}">
                <a16:creationId xmlns:a16="http://schemas.microsoft.com/office/drawing/2014/main" id="{D3E3BF3F-62BA-42BD-AAAA-C2798A711BDD}"/>
              </a:ext>
            </a:extLst>
          </xdr:cNvPr>
          <xdr:cNvSpPr/>
        </xdr:nvSpPr>
        <xdr:spPr>
          <a:xfrm>
            <a:off x="381000" y="6619847"/>
            <a:ext cx="5734050" cy="586742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CabeçalhoDaApresentação" descr="A função PROCV e o erro #N/D">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 função PROCV e o erro #N/D</a:t>
            </a:r>
          </a:p>
        </xdr:txBody>
      </xdr:sp>
      <xdr:cxnSp macro="">
        <xdr:nvCxnSpPr>
          <xdr:cNvPr id="120" name="txt_Linha1DaApresentação" descr="Linha decorativa">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Linha2DaApresentação" descr="Linha decorativa">
            <a:extLst>
              <a:ext uri="{FF2B5EF4-FFF2-40B4-BE49-F238E27FC236}">
                <a16:creationId xmlns:a16="http://schemas.microsoft.com/office/drawing/2014/main" id="{9714E556-7850-4148-BEC1-BE99A53AD145}"/>
              </a:ext>
            </a:extLst>
          </xdr:cNvPr>
          <xdr:cNvCxnSpPr>
            <a:cxnSpLocks/>
          </xdr:cNvCxnSpPr>
        </xdr:nvCxnSpPr>
        <xdr:spPr>
          <a:xfrm>
            <a:off x="623901" y="1177498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IntroduçãoDaApresentação" descr="Por vezes, irá deparar-se com uma situação em que a função PROCV não consegue encontrar aquilo que pediu e devolve um erro (#N/D). Por vezes, é porque o valor de pesquisa simplesmente não existe ou poderá ser porque a célula de referência ainda não tem um valor.&#10;&#10;">
            <a:extLst>
              <a:ext uri="{FF2B5EF4-FFF2-40B4-BE49-F238E27FC236}">
                <a16:creationId xmlns:a16="http://schemas.microsoft.com/office/drawing/2014/main" id="{14D15DCB-93AB-4F22-9D6D-FBFB2C3479BE}"/>
              </a:ext>
            </a:extLst>
          </xdr:cNvPr>
          <xdr:cNvSpPr txBox="1"/>
        </xdr:nvSpPr>
        <xdr:spPr>
          <a:xfrm>
            <a:off x="619288" y="7320013"/>
            <a:ext cx="5251444" cy="6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Por vezes, irá deparar-se com uma situação em que a função PROCV não consegue encontrar aquilo que pediu e devolve um erro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#N/D</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Por vezes, é porque o valor de pesquisa simplesmente não existe ou poderá ser porque a célula de referência ainda não tem um valor.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Passo">
            <a:extLst>
              <a:ext uri="{FF2B5EF4-FFF2-40B4-BE49-F238E27FC236}">
                <a16:creationId xmlns:a16="http://schemas.microsoft.com/office/drawing/2014/main" id="{5965A0D4-2BC5-48D7-B26B-96EE64B5243D}"/>
              </a:ext>
            </a:extLst>
          </xdr:cNvPr>
          <xdr:cNvGrpSpPr/>
        </xdr:nvGrpSpPr>
        <xdr:grpSpPr>
          <a:xfrm>
            <a:off x="619125" y="8200997"/>
            <a:ext cx="5353050" cy="1828828"/>
            <a:chOff x="562285" y="7915275"/>
            <a:chExt cx="5318320" cy="1828828"/>
          </a:xfrm>
        </xdr:grpSpPr>
        <xdr:sp macro="" textlink="">
          <xdr:nvSpPr>
            <xdr:cNvPr id="127" name="txt_Passo"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957233"/>
              <a:ext cx="4901163" cy="17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souber que o seu valor de pesquisa existe, mas quiser ocultar o erro se a célula de pesquisa estiver vazia, pode utilizar uma instrução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Neste caso, escreveremos a nossa fórmula PROCV existente na célula D43 da seguinte maneira: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=SE(C43="";"";PROCV(C43;C37:D41;2;FALSO))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Traduzindo: "se a célula C43 for igual a nada (""), então deixar a célula vazia, caso contrário devolver os resultados da função PROCV". Repare no segundo parêntese direito no final da fórmula. Este parêntese fecha a instrução SE.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Passo" descr="1">
              <a:extLst>
                <a:ext uri="{FF2B5EF4-FFF2-40B4-BE49-F238E27FC236}">
                  <a16:creationId xmlns:a16="http://schemas.microsoft.com/office/drawing/2014/main" id="{FF268881-27CD-4E87-AFEB-AFD303754FA4}"/>
                </a:ext>
              </a:extLst>
            </xdr:cNvPr>
            <xdr:cNvSpPr/>
          </xdr:nvSpPr>
          <xdr:spPr>
            <a:xfrm>
              <a:off x="562285" y="791527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grpSp>
        <xdr:nvGrpSpPr>
          <xdr:cNvPr id="124" name="Grupo 123">
            <a:extLst>
              <a:ext uri="{FF2B5EF4-FFF2-40B4-BE49-F238E27FC236}">
                <a16:creationId xmlns:a16="http://schemas.microsoft.com/office/drawing/2014/main" id="{E6606029-FD51-46CF-AFBE-ED7D2B796703}"/>
              </a:ext>
            </a:extLst>
          </xdr:cNvPr>
          <xdr:cNvGrpSpPr/>
        </xdr:nvGrpSpPr>
        <xdr:grpSpPr>
          <a:xfrm>
            <a:off x="619125" y="10210772"/>
            <a:ext cx="5229624" cy="1581177"/>
            <a:chOff x="11201400" y="3981450"/>
            <a:chExt cx="5229624" cy="1581177"/>
          </a:xfrm>
        </xdr:grpSpPr>
        <xdr:sp macro="" textlink="">
          <xdr:nvSpPr>
            <xdr:cNvPr id="125" name="txt_Passo" descr="Se não tiver a certeza de que o seu valor de pesquisa existe, mas quiser suprimir o erro #N/D, pode utilizar uma função de processamento de erros denominada SE.ERRO na célula G43: =SE.ERRO(PROCV(F43;F37:G41;2;FALSO);&quot;&quot;). A função SE.ERRO indica: se a função PROCV devolver um resultado válido, então apresentar isto, caso contrário deixar a célula vazia (&quot;&quot;). Deixámos a célula vazia aqui (&quot;&quot;), mas também pode utilizar números (0,1, 2, etc.) ou texto, como &quot;A fórmula não está correta&quot;.&#10;&#10;">
              <a:extLst>
                <a:ext uri="{FF2B5EF4-FFF2-40B4-BE49-F238E27FC236}">
                  <a16:creationId xmlns:a16="http://schemas.microsoft.com/office/drawing/2014/main" id="{250F4D35-4886-4A69-B7A9-2E3BC66C4614}"/>
                </a:ext>
              </a:extLst>
            </xdr:cNvPr>
            <xdr:cNvSpPr txBox="1"/>
          </xdr:nvSpPr>
          <xdr:spPr>
            <a:xfrm>
              <a:off x="11621281" y="4071032"/>
              <a:ext cx="4809743" cy="1491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não tiver a certeza se o seu valor de pesquisa existe, mas quiser suprimir o erro #N/D, pode utilizar uma função de processamento de erros denominada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G43: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=SE.ERRO(PROCV(F43;F37:G41;2;FALSO</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 </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diz: se a função PROCV devolver um resultado válido, então apresentar isto, caso contrário deixar a célula vazia (""). Deixámos a célula vazia aqui (""), mas também pode utilizar números (0,1, 2, etc.) ou texto, como "A fórmula não está correta".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Passo" descr="2">
              <a:extLst>
                <a:ext uri="{FF2B5EF4-FFF2-40B4-BE49-F238E27FC236}">
                  <a16:creationId xmlns:a16="http://schemas.microsoft.com/office/drawing/2014/main" id="{5CAEF7F2-CADC-4405-A740-3677A6585269}"/>
                </a:ext>
              </a:extLst>
            </xdr:cNvPr>
            <xdr:cNvSpPr/>
          </xdr:nvSpPr>
          <xdr:spPr>
            <a:xfrm>
              <a:off x="11201400" y="39814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60</xdr:row>
      <xdr:rowOff>99032</xdr:rowOff>
    </xdr:from>
    <xdr:to>
      <xdr:col>1</xdr:col>
      <xdr:colOff>1010375</xdr:colOff>
      <xdr:row>62</xdr:row>
      <xdr:rowOff>59196</xdr:rowOff>
    </xdr:to>
    <xdr:sp macro="" textlink="">
      <xdr:nvSpPr>
        <xdr:cNvPr id="129" name="BotãoAnterior" descr="Regressar à folha anterior">
          <a:hlinkClick xmlns:r="http://schemas.openxmlformats.org/officeDocument/2006/relationships" r:id="rId10" tooltip="Clique aqui para voltar à folha anterior"/>
          <a:extLst>
            <a:ext uri="{FF2B5EF4-FFF2-40B4-BE49-F238E27FC236}">
              <a16:creationId xmlns:a16="http://schemas.microsoft.com/office/drawing/2014/main" id="{049FDD6C-0419-436A-A64D-A3B2D630D4B4}"/>
            </a:ext>
          </a:extLst>
        </xdr:cNvPr>
        <xdr:cNvSpPr/>
      </xdr:nvSpPr>
      <xdr:spPr>
        <a:xfrm flipH="1">
          <a:off x="571500" y="121062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3677016</xdr:colOff>
      <xdr:row>60</xdr:row>
      <xdr:rowOff>99032</xdr:rowOff>
    </xdr:from>
    <xdr:to>
      <xdr:col>1</xdr:col>
      <xdr:colOff>4933136</xdr:colOff>
      <xdr:row>62</xdr:row>
      <xdr:rowOff>59196</xdr:rowOff>
    </xdr:to>
    <xdr:sp macro="" textlink="">
      <xdr:nvSpPr>
        <xdr:cNvPr id="130" name="BotãoSeguinte" descr="Avançar para a folha seguinte">
          <a:hlinkClick xmlns:r="http://schemas.openxmlformats.org/officeDocument/2006/relationships" r:id="rId1" tooltip="Clique aqui para avançar para a folha de cálculo seguinte"/>
          <a:extLst>
            <a:ext uri="{FF2B5EF4-FFF2-40B4-BE49-F238E27FC236}">
              <a16:creationId xmlns:a16="http://schemas.microsoft.com/office/drawing/2014/main" id="{7E521B5B-4F6E-46CF-9081-B282E69CE49D}"/>
            </a:ext>
          </a:extLst>
        </xdr:cNvPr>
        <xdr:cNvSpPr/>
      </xdr:nvSpPr>
      <xdr:spPr>
        <a:xfrm>
          <a:off x="4513311" y="121062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3</xdr:col>
      <xdr:colOff>434341</xdr:colOff>
      <xdr:row>43</xdr:row>
      <xdr:rowOff>76207</xdr:rowOff>
    </xdr:from>
    <xdr:to>
      <xdr:col>9</xdr:col>
      <xdr:colOff>285751</xdr:colOff>
      <xdr:row>55</xdr:row>
      <xdr:rowOff>22858</xdr:rowOff>
    </xdr:to>
    <xdr:grpSp>
      <xdr:nvGrpSpPr>
        <xdr:cNvPr id="131" name="DETALHE IMPORTANTE" descr="DETALHE IMPORTANTE&#10;&#10;">
          <a:extLst>
            <a:ext uri="{FF2B5EF4-FFF2-40B4-BE49-F238E27FC236}">
              <a16:creationId xmlns:a16="http://schemas.microsoft.com/office/drawing/2014/main" id="{321AE9BC-CB50-4E20-92DE-ED300BC55383}"/>
            </a:ext>
          </a:extLst>
        </xdr:cNvPr>
        <xdr:cNvGrpSpPr/>
      </xdr:nvGrpSpPr>
      <xdr:grpSpPr>
        <a:xfrm>
          <a:off x="7905751" y="8839207"/>
          <a:ext cx="3968115" cy="2228841"/>
          <a:chOff x="6788150" y="10960177"/>
          <a:chExt cx="3989022" cy="2161914"/>
        </a:xfrm>
      </xdr:grpSpPr>
      <xdr:sp macro="" textlink="">
        <xdr:nvSpPr>
          <xdr:cNvPr id="132" name="Instrução"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75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A função </a:t>
            </a:r>
            <a:r>
              <a:rPr lang="pt-pt" sz="1100" b="1" i="0" kern="1200" baseline="0">
                <a:solidFill>
                  <a:schemeClr val="dk1"/>
                </a:solidFill>
                <a:effectLst/>
                <a:latin typeface="+mn-lt"/>
                <a:ea typeface="+mn-ea"/>
                <a:cs typeface="+mn-cs"/>
              </a:rPr>
              <a:t>SE.ERRO </a:t>
            </a:r>
            <a:r>
              <a:rPr lang="pt-pt" sz="1100" b="0" i="0" kern="1200" baseline="0">
                <a:solidFill>
                  <a:schemeClr val="dk1"/>
                </a:solidFill>
                <a:effectLst/>
                <a:latin typeface="+mn-lt"/>
                <a:ea typeface="+mn-ea"/>
                <a:cs typeface="+mn-cs"/>
              </a:rPr>
              <a:t>é um processador de erros geral, o que significa que irá suprimir todos os erros que a sua fórmula poderá devolver. Isto poderá originar problemas se o Excel lhe apresentar uma notificação que o informa que a sua fórmula tem um erro legítimo que tem de ser corrigido.</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pt-pt" sz="1100" b="0" i="0" kern="1200" baseline="0">
                <a:solidFill>
                  <a:schemeClr val="dk1"/>
                </a:solidFill>
                <a:effectLst/>
                <a:latin typeface="+mn-lt"/>
                <a:ea typeface="+mn-ea"/>
                <a:cs typeface="+mn-cs"/>
              </a:rPr>
              <a:t>É recomendado que não adicione processadores de erros às suas fórmulas até ter mesmo a certeza de que funcionam bem.</a:t>
            </a:r>
            <a:endParaRPr lang="en-US" sz="1100">
              <a:effectLst/>
            </a:endParaRPr>
          </a:p>
        </xdr:txBody>
      </xdr:sp>
      <xdr:pic>
        <xdr:nvPicPr>
          <xdr:cNvPr id="133" name="Lupa" descr="Lupa">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Seta" descr="Seta">
            <a:extLst>
              <a:ext uri="{FF2B5EF4-FFF2-40B4-BE49-F238E27FC236}">
                <a16:creationId xmlns:a16="http://schemas.microsoft.com/office/drawing/2014/main" id="{1531872D-805C-4E14-9E2F-6B51D84DF3B2}"/>
              </a:ext>
            </a:extLst>
          </xdr:cNvPr>
          <xdr:cNvSpPr/>
        </xdr:nvSpPr>
        <xdr:spPr>
          <a:xfrm rot="3874191">
            <a:off x="8426808"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1</xdr:col>
      <xdr:colOff>404819</xdr:colOff>
      <xdr:row>6</xdr:row>
      <xdr:rowOff>180955</xdr:rowOff>
    </xdr:from>
    <xdr:to>
      <xdr:col>1</xdr:col>
      <xdr:colOff>4648200</xdr:colOff>
      <xdr:row>20</xdr:row>
      <xdr:rowOff>37671</xdr:rowOff>
    </xdr:to>
    <xdr:grpSp>
      <xdr:nvGrpSpPr>
        <xdr:cNvPr id="135" name="Grupo 134">
          <a:extLst>
            <a:ext uri="{FF2B5EF4-FFF2-40B4-BE49-F238E27FC236}">
              <a16:creationId xmlns:a16="http://schemas.microsoft.com/office/drawing/2014/main" id="{6CD3A2DF-2D37-45A6-9A63-6B14AFC74B8A}"/>
            </a:ext>
          </a:extLst>
        </xdr:cNvPr>
        <xdr:cNvGrpSpPr/>
      </xdr:nvGrpSpPr>
      <xdr:grpSpPr>
        <a:xfrm>
          <a:off x="1267784" y="1893550"/>
          <a:ext cx="4247191" cy="2525621"/>
          <a:chOff x="3248025" y="1476375"/>
          <a:chExt cx="4243381" cy="2523716"/>
        </a:xfrm>
      </xdr:grpSpPr>
      <xdr:sp macro="" textlink="">
        <xdr:nvSpPr>
          <xdr:cNvPr id="136" name="ChavetaDaFórmulaInferio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7" name="ChavetaDaFórmulaInferio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8" name="ChavetaDaFórmulaSuperio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ChavetaDaFórmulaSuperio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Fórmula" descr="=PROCV(A1;B:C;2;FALSO)&#10;">
            <a:extLst>
              <a:ext uri="{FF2B5EF4-FFF2-40B4-BE49-F238E27FC236}">
                <a16:creationId xmlns:a16="http://schemas.microsoft.com/office/drawing/2014/main" id="{786BBFD9-F72E-4EA3-96E4-7C14F0A569CB}"/>
              </a:ext>
            </a:extLst>
          </xdr:cNvPr>
          <xdr:cNvSpPr txBox="1"/>
        </xdr:nvSpPr>
        <xdr:spPr>
          <a:xfrm>
            <a:off x="32480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=PROCV(A1;B:C;2;FALSO)</a:t>
            </a:r>
            <a:endParaRPr lang="en-US" sz="2000">
              <a:effectLst/>
              <a:latin typeface="Courier New" panose="02070309020205020404" pitchFamily="49" charset="0"/>
              <a:ea typeface="Times New Roman" panose="02020603050405020304" pitchFamily="18" charset="0"/>
            </a:endParaRPr>
          </a:p>
        </xdr:txBody>
      </xdr:sp>
      <xdr:sp macro="" textlink="">
        <xdr:nvSpPr>
          <xdr:cNvPr id="141" name="txt_BalãoDaFórmulaSuperior" descr="O que pretende procura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 que pretende procurar?</a:t>
            </a:r>
          </a:p>
        </xdr:txBody>
      </xdr:sp>
      <xdr:sp macro="" textlink="">
        <xdr:nvSpPr>
          <xdr:cNvPr id="142" name="txt_BalãoDaFórmulaSuperior" descr="Se localizar os conteúdos, em quantas colunas para a direita pretende que sejam localizados valores?&#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242886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Se localizar os conteúdos, em quantas colunas para a direita pretende que sejam localizados valores?</a:t>
            </a:r>
          </a:p>
        </xdr:txBody>
      </xdr:sp>
      <xdr:sp macro="" textlink="">
        <xdr:nvSpPr>
          <xdr:cNvPr id="143" name="txt_BalãoDaFórmulaInferior" descr="Onde quer procurar?&#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Onde quer procurar?</a:t>
            </a:r>
          </a:p>
        </xdr:txBody>
      </xdr:sp>
      <xdr:sp macro="" textlink="">
        <xdr:nvSpPr>
          <xdr:cNvPr id="144" name="txt_BalãoDaFórmulaInferior" descr="Pretende uma correspondência exata ou aproximada?&#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7" y="3105150"/>
            <a:ext cx="1181093"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Pretende uma correspondência exata ou aproximada?</a:t>
            </a:r>
          </a:p>
        </xdr:txBody>
      </xdr:sp>
    </xdr:grpSp>
    <xdr:clientData/>
  </xdr:twoCellAnchor>
  <xdr:twoCellAnchor>
    <xdr:from>
      <xdr:col>2</xdr:col>
      <xdr:colOff>830184</xdr:colOff>
      <xdr:row>22</xdr:row>
      <xdr:rowOff>66674</xdr:rowOff>
    </xdr:from>
    <xdr:to>
      <xdr:col>8</xdr:col>
      <xdr:colOff>412238</xdr:colOff>
      <xdr:row>28</xdr:row>
      <xdr:rowOff>146779</xdr:rowOff>
    </xdr:to>
    <xdr:grpSp>
      <xdr:nvGrpSpPr>
        <xdr:cNvPr id="4" name="Grupo 3">
          <a:extLst>
            <a:ext uri="{FF2B5EF4-FFF2-40B4-BE49-F238E27FC236}">
              <a16:creationId xmlns:a16="http://schemas.microsoft.com/office/drawing/2014/main" id="{089FFE6E-D9A5-469F-8731-5F616E56C80F}"/>
            </a:ext>
          </a:extLst>
        </xdr:cNvPr>
        <xdr:cNvGrpSpPr/>
      </xdr:nvGrpSpPr>
      <xdr:grpSpPr>
        <a:xfrm>
          <a:off x="7381479" y="4827269"/>
          <a:ext cx="4011179" cy="1223105"/>
          <a:chOff x="7726284" y="4829174"/>
          <a:chExt cx="4158817" cy="1223105"/>
        </a:xfrm>
      </xdr:grpSpPr>
      <xdr:grpSp>
        <xdr:nvGrpSpPr>
          <xdr:cNvPr id="108" name="Grupo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Passo"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Experimente selecionar</a:t>
              </a:r>
              <a:r>
                <a:rPr lang="pt-pt" sz="1100" kern="0" baseline="0">
                  <a:solidFill>
                    <a:schemeClr val="bg2">
                      <a:lumMod val="25000"/>
                    </a:schemeClr>
                  </a:solidFill>
                  <a:latin typeface="+mn-lt"/>
                  <a:ea typeface="Segoe UI" pitchFamily="34" charset="0"/>
                  <a:cs typeface="Segoe UI Light" panose="020B0502040204020203" pitchFamily="34" charset="0"/>
                </a:rPr>
                <a:t> diferentes itens nas listas pendentes. Verá as células dos resultados a serem atualizadas automaticamente com novos valores.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áfico 96" descr="Gobelé">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ChavetaDaFórmulaInferio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Passo" descr="Escreva =SOMA(D4:D7) e prima Enter. Quando terminar, verá o resultado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3</xdr:col>
      <xdr:colOff>420403</xdr:colOff>
      <xdr:row>123</xdr:row>
      <xdr:rowOff>11434</xdr:rowOff>
    </xdr:from>
    <xdr:to>
      <xdr:col>8</xdr:col>
      <xdr:colOff>201929</xdr:colOff>
      <xdr:row>132</xdr:row>
      <xdr:rowOff>16704</xdr:rowOff>
    </xdr:to>
    <xdr:grpSp>
      <xdr:nvGrpSpPr>
        <xdr:cNvPr id="88" name="INFORMAÇÕES ÚTEIS"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7840378" y="23380069"/>
          <a:ext cx="4622131" cy="1643570"/>
          <a:chOff x="5749341" y="15514766"/>
          <a:chExt cx="4721624" cy="1675126"/>
        </a:xfrm>
      </xdr:grpSpPr>
      <xdr:sp macro="" textlink="">
        <xdr:nvSpPr>
          <xdr:cNvPr id="92" name="Passo"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303123" y="15564292"/>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Faça duplo clique na célula e verá que a fórmula é diferente. Especificamente, o critério de soma é "&gt;=50", que significa maior ou igual a 50. Existem outros operadores que pode utilizar como "&lt;=50", que significa</a:t>
            </a:r>
            <a:r>
              <a:rPr lang="pt-pt" sz="1100" b="0" i="1" kern="1200" baseline="0">
                <a:solidFill>
                  <a:schemeClr val="dk1"/>
                </a:solidFill>
                <a:effectLst/>
                <a:latin typeface="+mn-lt"/>
                <a:ea typeface="+mn-ea"/>
                <a:cs typeface="+mn-cs"/>
              </a:rPr>
              <a:t> menor ou igual a</a:t>
            </a:r>
            <a:r>
              <a:rPr lang="pt-pt" sz="1100" b="0" i="0" kern="1200" baseline="0">
                <a:solidFill>
                  <a:schemeClr val="dk1"/>
                </a:solidFill>
                <a:effectLst/>
                <a:latin typeface="+mn-lt"/>
                <a:ea typeface="+mn-ea"/>
                <a:cs typeface="+mn-cs"/>
              </a:rPr>
              <a:t> 50. Também pode utilizar "&lt;&gt;50", que significa </a:t>
            </a:r>
            <a:r>
              <a:rPr lang="pt-pt" sz="1100" b="0" i="1" kern="1200" baseline="0">
                <a:solidFill>
                  <a:schemeClr val="dk1"/>
                </a:solidFill>
                <a:effectLst/>
                <a:latin typeface="+mn-lt"/>
                <a:ea typeface="+mn-ea"/>
                <a:cs typeface="+mn-cs"/>
              </a:rPr>
              <a:t>diferente</a:t>
            </a:r>
            <a:r>
              <a:rPr lang="pt-pt" sz="1100" b="0" i="0" kern="1200" baseline="0">
                <a:solidFill>
                  <a:schemeClr val="dk1"/>
                </a:solidFill>
                <a:effectLst/>
                <a:latin typeface="+mn-lt"/>
                <a:ea typeface="+mn-ea"/>
                <a:cs typeface="+mn-cs"/>
              </a:rPr>
              <a:t> de 50. </a:t>
            </a:r>
            <a:endParaRPr lang="en-US" sz="1100">
              <a:effectLst/>
              <a:latin typeface="+mn-lt"/>
            </a:endParaRPr>
          </a:p>
        </xdr:txBody>
      </xdr:sp>
      <xdr:pic>
        <xdr:nvPicPr>
          <xdr:cNvPr id="93" name="Gráfico 147" descr="Óculo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38790" y="15564292"/>
            <a:ext cx="323347" cy="349115"/>
          </a:xfrm>
          <a:prstGeom prst="rect">
            <a:avLst/>
          </a:prstGeom>
        </xdr:spPr>
      </xdr:pic>
      <xdr:sp macro="" textlink="">
        <xdr:nvSpPr>
          <xdr:cNvPr id="94" name="Forma livre: forma 93" descr="Seta">
            <a:extLst>
              <a:ext uri="{FF2B5EF4-FFF2-40B4-BE49-F238E27FC236}">
                <a16:creationId xmlns:a16="http://schemas.microsoft.com/office/drawing/2014/main" id="{15104F1B-103C-46F0-AEAD-84159160100C}"/>
              </a:ext>
            </a:extLst>
          </xdr:cNvPr>
          <xdr:cNvSpPr/>
        </xdr:nvSpPr>
        <xdr:spPr>
          <a:xfrm rot="15646966" flipH="1" flipV="1">
            <a:off x="6209642" y="15054465"/>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354329</xdr:colOff>
      <xdr:row>138</xdr:row>
      <xdr:rowOff>38101</xdr:rowOff>
    </xdr:from>
    <xdr:to>
      <xdr:col>1</xdr:col>
      <xdr:colOff>5231129</xdr:colOff>
      <xdr:row>158</xdr:row>
      <xdr:rowOff>151266</xdr:rowOff>
    </xdr:to>
    <xdr:grpSp>
      <xdr:nvGrpSpPr>
        <xdr:cNvPr id="2" name="Grupo 1">
          <a:extLst>
            <a:ext uri="{FF2B5EF4-FFF2-40B4-BE49-F238E27FC236}">
              <a16:creationId xmlns:a16="http://schemas.microsoft.com/office/drawing/2014/main" id="{F31110CC-1652-426F-8A11-3D24DC9CD3D1}"/>
            </a:ext>
          </a:extLst>
        </xdr:cNvPr>
        <xdr:cNvGrpSpPr/>
      </xdr:nvGrpSpPr>
      <xdr:grpSpPr>
        <a:xfrm>
          <a:off x="356234" y="26127076"/>
          <a:ext cx="5743575" cy="3732665"/>
          <a:chOff x="447674" y="25631776"/>
          <a:chExt cx="5724525" cy="3762374"/>
        </a:xfrm>
      </xdr:grpSpPr>
      <xdr:sp macro="" textlink="">
        <xdr:nvSpPr>
          <xdr:cNvPr id="152" name="Retângulo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5" name="Passo" descr="Mais informações na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Conexão Reta 157" descr="Linha decorativa">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exão Reta 163" descr="Linha decorativa">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354330</xdr:rowOff>
    </xdr:from>
    <xdr:to>
      <xdr:col>1</xdr:col>
      <xdr:colOff>5231130</xdr:colOff>
      <xdr:row>48</xdr:row>
      <xdr:rowOff>38100</xdr:rowOff>
    </xdr:to>
    <xdr:sp macro="" textlink="">
      <xdr:nvSpPr>
        <xdr:cNvPr id="168" name="Fundo" descr="Fundo">
          <a:extLst>
            <a:ext uri="{FF2B5EF4-FFF2-40B4-BE49-F238E27FC236}">
              <a16:creationId xmlns:a16="http://schemas.microsoft.com/office/drawing/2014/main" id="{E6C939DA-20FC-4617-9AC0-0E0FD53C0BBC}"/>
            </a:ext>
          </a:extLst>
        </xdr:cNvPr>
        <xdr:cNvSpPr/>
      </xdr:nvSpPr>
      <xdr:spPr>
        <a:xfrm>
          <a:off x="342900" y="352425"/>
          <a:ext cx="5734050" cy="9401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551511</xdr:colOff>
      <xdr:row>2</xdr:row>
      <xdr:rowOff>64770</xdr:rowOff>
    </xdr:from>
    <xdr:to>
      <xdr:col>1</xdr:col>
      <xdr:colOff>4946319</xdr:colOff>
      <xdr:row>2</xdr:row>
      <xdr:rowOff>64770</xdr:rowOff>
    </xdr:to>
    <xdr:cxnSp macro="">
      <xdr:nvCxnSpPr>
        <xdr:cNvPr id="169" name="Linha inferior" descr="Linha decorativa">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551511</xdr:colOff>
      <xdr:row>0</xdr:row>
      <xdr:rowOff>445770</xdr:rowOff>
    </xdr:from>
    <xdr:to>
      <xdr:col>1</xdr:col>
      <xdr:colOff>4951420</xdr:colOff>
      <xdr:row>1</xdr:row>
      <xdr:rowOff>167707</xdr:rowOff>
    </xdr:to>
    <xdr:sp macro="" textlink="">
      <xdr:nvSpPr>
        <xdr:cNvPr id="170" name="Passo" descr="Funções condicionais – SOMA.SE&#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 SOMA.SE</a:t>
          </a:r>
        </a:p>
      </xdr:txBody>
    </xdr:sp>
    <xdr:clientData/>
  </xdr:twoCellAnchor>
  <xdr:twoCellAnchor editAs="absolute">
    <xdr:from>
      <xdr:col>0</xdr:col>
      <xdr:colOff>551511</xdr:colOff>
      <xdr:row>43</xdr:row>
      <xdr:rowOff>131657</xdr:rowOff>
    </xdr:from>
    <xdr:to>
      <xdr:col>1</xdr:col>
      <xdr:colOff>4946319</xdr:colOff>
      <xdr:row>43</xdr:row>
      <xdr:rowOff>131657</xdr:rowOff>
    </xdr:to>
    <xdr:cxnSp macro="">
      <xdr:nvCxnSpPr>
        <xdr:cNvPr id="171" name="Linha inferior" descr="Linha decorativa">
          <a:extLst>
            <a:ext uri="{FF2B5EF4-FFF2-40B4-BE49-F238E27FC236}">
              <a16:creationId xmlns:a16="http://schemas.microsoft.com/office/drawing/2014/main" id="{CDE7F952-1938-4D52-9DF8-081F00B24DBB}"/>
            </a:ext>
          </a:extLst>
        </xdr:cNvPr>
        <xdr:cNvCxnSpPr>
          <a:cxnSpLocks/>
        </xdr:cNvCxnSpPr>
      </xdr:nvCxnSpPr>
      <xdr:spPr>
        <a:xfrm>
          <a:off x="547701" y="88984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53340</xdr:rowOff>
    </xdr:from>
    <xdr:to>
      <xdr:col>1</xdr:col>
      <xdr:colOff>5022808</xdr:colOff>
      <xdr:row>6</xdr:row>
      <xdr:rowOff>15240</xdr:rowOff>
    </xdr:to>
    <xdr:sp macro="" textlink="">
      <xdr:nvSpPr>
        <xdr:cNvPr id="172" name="Introdução à soma de números" descr="As funções condicionais permitem-lhe somar, calcular a média, contar ou obter o valor mínimo e máximo de um intervalo com base numa condição ou critérios que especificar. Por exemplo, nesta lista de frutas, quantas maçãs existem? Ou quantas laranjas são da variedade Valencia Late?&#10;">
          <a:extLst>
            <a:ext uri="{FF2B5EF4-FFF2-40B4-BE49-F238E27FC236}">
              <a16:creationId xmlns:a16="http://schemas.microsoft.com/office/drawing/2014/main" id="{9A24D79D-F087-4F19-ACAE-4CAC391FF978}"/>
            </a:ext>
          </a:extLst>
        </xdr:cNvPr>
        <xdr:cNvSpPr txBox="1"/>
      </xdr:nvSpPr>
      <xdr:spPr>
        <a:xfrm>
          <a:off x="571500" y="1009650"/>
          <a:ext cx="5300938"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kern="1200">
              <a:solidFill>
                <a:schemeClr val="tx1">
                  <a:lumMod val="75000"/>
                  <a:lumOff val="25000"/>
                </a:schemeClr>
              </a:solidFill>
              <a:latin typeface="Segoe UI" panose="020B0502040204020203" pitchFamily="34" charset="0"/>
              <a:ea typeface="+mn-ea"/>
              <a:cs typeface="Segoe UI" panose="020B0502040204020203" pitchFamily="34" charset="0"/>
            </a:rPr>
            <a:t>As funções condicionais permitem-lhe somar, calcular a média, contar ou obter o valor mínimo ou máximo de um intervalo com base numa condição ou critérios que especificar. Por exemplo,</a:t>
          </a:r>
          <a:r>
            <a:rPr lang="pt-p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nesta lista de frutas, quantas maçãs existem? Ou quantas laranjas são da variedade Valencia Late?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521883</xdr:colOff>
      <xdr:row>7</xdr:row>
      <xdr:rowOff>38100</xdr:rowOff>
    </xdr:from>
    <xdr:to>
      <xdr:col>1</xdr:col>
      <xdr:colOff>4915231</xdr:colOff>
      <xdr:row>12</xdr:row>
      <xdr:rowOff>0</xdr:rowOff>
    </xdr:to>
    <xdr:grpSp>
      <xdr:nvGrpSpPr>
        <xdr:cNvPr id="5" name="Grupo 4">
          <a:extLst>
            <a:ext uri="{FF2B5EF4-FFF2-40B4-BE49-F238E27FC236}">
              <a16:creationId xmlns:a16="http://schemas.microsoft.com/office/drawing/2014/main" id="{8A59968F-9E53-4DA4-A0EC-0D567AB08F0D}"/>
            </a:ext>
          </a:extLst>
        </xdr:cNvPr>
        <xdr:cNvGrpSpPr/>
      </xdr:nvGrpSpPr>
      <xdr:grpSpPr>
        <a:xfrm>
          <a:off x="518073" y="1943100"/>
          <a:ext cx="5263933" cy="914400"/>
          <a:chOff x="571500" y="1771650"/>
          <a:chExt cx="5229626" cy="914400"/>
        </a:xfrm>
      </xdr:grpSpPr>
      <xdr:sp macro="" textlink="">
        <xdr:nvSpPr>
          <xdr:cNvPr id="174" name="txt_Passo" descr="A função SOMA.SE permite-lhe somar num intervalo com base em critérios específicos que procura noutro intervalo, por exemplo, quantas Maçãs tem. Selecione a célula D17 e escreva =SOMA.SE(C3:C14;C17;D3:D14). A função SOMA.SE tem a seguinte estrutura:&#10;">
            <a:extLst>
              <a:ext uri="{FF2B5EF4-FFF2-40B4-BE49-F238E27FC236}">
                <a16:creationId xmlns:a16="http://schemas.microsoft.com/office/drawing/2014/main" id="{2D2520E8-CC78-428A-A2A1-03FB76DC9AF2}"/>
              </a:ext>
            </a:extLst>
          </xdr:cNvPr>
          <xdr:cNvSpPr txBox="1"/>
        </xdr:nvSpPr>
        <xdr:spPr>
          <a:xfrm>
            <a:off x="991382" y="1813608"/>
            <a:ext cx="4809744" cy="872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função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 </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permite-lhe somar num intervalo com base em critérios específicos que procura noutro intervalo, por exemplo, quantas Maçãs tem. Selecione a célula D17 e escreva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=SOMA.SE(C3:C14;C17;D3:D14)</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a:t>
            </a:r>
            <a:r>
              <a:rPr lang="pt-p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tem a seguinte estrutura:</a:t>
            </a:r>
          </a:p>
        </xdr:txBody>
      </xdr:sp>
      <xdr:sp macro="" textlink="">
        <xdr:nvSpPr>
          <xdr:cNvPr id="175" name="shp_Passo"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3745231</xdr:colOff>
      <xdr:row>44</xdr:row>
      <xdr:rowOff>91651</xdr:rowOff>
    </xdr:from>
    <xdr:to>
      <xdr:col>1</xdr:col>
      <xdr:colOff>4889434</xdr:colOff>
      <xdr:row>46</xdr:row>
      <xdr:rowOff>60630</xdr:rowOff>
    </xdr:to>
    <xdr:sp macro="" textlink="">
      <xdr:nvSpPr>
        <xdr:cNvPr id="176" name="BotãoSeguinte" descr="Avançar para a folha seguinte">
          <a:hlinkClick xmlns:r="http://schemas.openxmlformats.org/officeDocument/2006/relationships" r:id="rId3" tooltip="Clique aqui para avançar para a folha de cálculo seguinte"/>
          <a:extLst>
            <a:ext uri="{FF2B5EF4-FFF2-40B4-BE49-F238E27FC236}">
              <a16:creationId xmlns:a16="http://schemas.microsoft.com/office/drawing/2014/main" id="{A7F57915-4D95-47B4-A488-FB7E3D0BBF97}"/>
            </a:ext>
          </a:extLst>
        </xdr:cNvPr>
        <xdr:cNvSpPr/>
      </xdr:nvSpPr>
      <xdr:spPr>
        <a:xfrm>
          <a:off x="4591051" y="90413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0</xdr:col>
      <xdr:colOff>654239</xdr:colOff>
      <xdr:row>155</xdr:row>
      <xdr:rowOff>39651</xdr:rowOff>
    </xdr:from>
    <xdr:to>
      <xdr:col>1</xdr:col>
      <xdr:colOff>2564737</xdr:colOff>
      <xdr:row>158</xdr:row>
      <xdr:rowOff>18624</xdr:rowOff>
    </xdr:to>
    <xdr:sp macro="" textlink="">
      <xdr:nvSpPr>
        <xdr:cNvPr id="177" name="Botão Seguinte" descr="Voltar ao início, com hiperligação para a célula A1">
          <a:hlinkClick xmlns:r="http://schemas.openxmlformats.org/officeDocument/2006/relationships" r:id="rId4" tooltip="Voltar ao início"/>
          <a:extLst>
            <a:ext uri="{FF2B5EF4-FFF2-40B4-BE49-F238E27FC236}">
              <a16:creationId xmlns:a16="http://schemas.microsoft.com/office/drawing/2014/main" id="{F1F17ADA-3374-4672-8F57-B7354AE50F61}"/>
            </a:ext>
          </a:extLst>
        </xdr:cNvPr>
        <xdr:cNvSpPr/>
      </xdr:nvSpPr>
      <xdr:spPr>
        <a:xfrm>
          <a:off x="652334" y="30214851"/>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lientData/>
  </xdr:twoCellAnchor>
  <xdr:twoCellAnchor editAs="absolute">
    <xdr:from>
      <xdr:col>1</xdr:col>
      <xdr:colOff>3634741</xdr:colOff>
      <xdr:row>156</xdr:row>
      <xdr:rowOff>41355</xdr:rowOff>
    </xdr:from>
    <xdr:to>
      <xdr:col>1</xdr:col>
      <xdr:colOff>5027209</xdr:colOff>
      <xdr:row>158</xdr:row>
      <xdr:rowOff>21272</xdr:rowOff>
    </xdr:to>
    <xdr:sp macro="" textlink="">
      <xdr:nvSpPr>
        <xdr:cNvPr id="178" name="Botão Seguinte" descr="Botão Passo seguinte, com hiperligação para a folha de cálculo seguinte">
          <a:hlinkClick xmlns:r="http://schemas.openxmlformats.org/officeDocument/2006/relationships" r:id="rId3" tooltip="Clique aqui para avançar para a folha de cálculo seguinte"/>
          <a:extLst>
            <a:ext uri="{FF2B5EF4-FFF2-40B4-BE49-F238E27FC236}">
              <a16:creationId xmlns:a16="http://schemas.microsoft.com/office/drawing/2014/main" id="{21885DC0-F099-46D4-A1CF-17E11C390036}"/>
            </a:ext>
          </a:extLst>
        </xdr:cNvPr>
        <xdr:cNvSpPr/>
      </xdr:nvSpPr>
      <xdr:spPr>
        <a:xfrm>
          <a:off x="4486276" y="30407055"/>
          <a:ext cx="1388658" cy="357107"/>
        </a:xfrm>
        <a:prstGeom prst="rightArrowCallout">
          <a:avLst>
            <a:gd name="adj1" fmla="val 32829"/>
            <a:gd name="adj2" fmla="val 31524"/>
            <a:gd name="adj3" fmla="val 25000"/>
            <a:gd name="adj4" fmla="val 89101"/>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clientData/>
  </xdr:twoCellAnchor>
  <xdr:twoCellAnchor>
    <xdr:from>
      <xdr:col>1</xdr:col>
      <xdr:colOff>2932590</xdr:colOff>
      <xdr:row>151</xdr:row>
      <xdr:rowOff>28308</xdr:rowOff>
    </xdr:from>
    <xdr:to>
      <xdr:col>1</xdr:col>
      <xdr:colOff>4857750</xdr:colOff>
      <xdr:row>152</xdr:row>
      <xdr:rowOff>148166</xdr:rowOff>
    </xdr:to>
    <xdr:sp macro="" textlink="">
      <xdr:nvSpPr>
        <xdr:cNvPr id="179" name="Passo" descr="Formação online gratuita do Excel, com hiperligação para a Web&#10;">
          <a:hlinkClick xmlns:r="http://schemas.openxmlformats.org/officeDocument/2006/relationships" r:id="rId5" tooltip="Selecione para aceder à Web e saber tudo sobre a formação online gratuita do Excel"/>
          <a:extLst>
            <a:ext uri="{FF2B5EF4-FFF2-40B4-BE49-F238E27FC236}">
              <a16:creationId xmlns:a16="http://schemas.microsoft.com/office/drawing/2014/main" id="{8052CE9F-9F0B-4E5C-BCC9-9FAF4B271CC6}"/>
            </a:ext>
          </a:extLst>
        </xdr:cNvPr>
        <xdr:cNvSpPr txBox="1"/>
      </xdr:nvSpPr>
      <xdr:spPr>
        <a:xfrm>
          <a:off x="3780315" y="29441508"/>
          <a:ext cx="1925160"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clientData/>
  </xdr:twoCellAnchor>
  <xdr:twoCellAnchor>
    <xdr:from>
      <xdr:col>1</xdr:col>
      <xdr:colOff>2467406</xdr:colOff>
      <xdr:row>151</xdr:row>
      <xdr:rowOff>22746</xdr:rowOff>
    </xdr:from>
    <xdr:to>
      <xdr:col>1</xdr:col>
      <xdr:colOff>2962138</xdr:colOff>
      <xdr:row>153</xdr:row>
      <xdr:rowOff>96578</xdr:rowOff>
    </xdr:to>
    <xdr:pic>
      <xdr:nvPicPr>
        <xdr:cNvPr id="180" name="Gráfico 22" descr="Seta">
          <a:hlinkClick xmlns:r="http://schemas.openxmlformats.org/officeDocument/2006/relationships" r:id="rId5" tooltip="Selecione para obter mais informações na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15131" y="29435946"/>
          <a:ext cx="494732" cy="454832"/>
        </a:xfrm>
        <a:prstGeom prst="rect">
          <a:avLst/>
        </a:prstGeom>
      </xdr:spPr>
    </xdr:pic>
    <xdr:clientData/>
  </xdr:twoCellAnchor>
  <xdr:twoCellAnchor>
    <xdr:from>
      <xdr:col>1</xdr:col>
      <xdr:colOff>2932591</xdr:colOff>
      <xdr:row>148</xdr:row>
      <xdr:rowOff>152005</xdr:rowOff>
    </xdr:from>
    <xdr:to>
      <xdr:col>1</xdr:col>
      <xdr:colOff>5202455</xdr:colOff>
      <xdr:row>150</xdr:row>
      <xdr:rowOff>87991</xdr:rowOff>
    </xdr:to>
    <xdr:sp macro="" textlink="">
      <xdr:nvSpPr>
        <xdr:cNvPr id="181" name="Passo" descr="Tudo sobre a função MÁXIMO.SE.S, com hiperligação para a Web&#10;&#10;">
          <a:hlinkClick xmlns:r="http://schemas.openxmlformats.org/officeDocument/2006/relationships" r:id="rId8" tooltip="Selecione para aceder à Web e saber tudo sobre a função MÁXIMO.SE.S"/>
          <a:extLst>
            <a:ext uri="{FF2B5EF4-FFF2-40B4-BE49-F238E27FC236}">
              <a16:creationId xmlns:a16="http://schemas.microsoft.com/office/drawing/2014/main" id="{3FFDC6A0-9831-442E-AB6B-F06D71AAAD14}"/>
            </a:ext>
          </a:extLst>
        </xdr:cNvPr>
        <xdr:cNvSpPr txBox="1"/>
      </xdr:nvSpPr>
      <xdr:spPr>
        <a:xfrm>
          <a:off x="3780316" y="2899370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MÁXIMO.SE.S</a:t>
          </a:r>
        </a:p>
      </xdr:txBody>
    </xdr:sp>
    <xdr:clientData/>
  </xdr:twoCellAnchor>
  <xdr:twoCellAnchor>
    <xdr:from>
      <xdr:col>1</xdr:col>
      <xdr:colOff>2467406</xdr:colOff>
      <xdr:row>148</xdr:row>
      <xdr:rowOff>153071</xdr:rowOff>
    </xdr:from>
    <xdr:to>
      <xdr:col>1</xdr:col>
      <xdr:colOff>2962138</xdr:colOff>
      <xdr:row>151</xdr:row>
      <xdr:rowOff>29775</xdr:rowOff>
    </xdr:to>
    <xdr:pic>
      <xdr:nvPicPr>
        <xdr:cNvPr id="182"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15131" y="28994771"/>
          <a:ext cx="494732" cy="448204"/>
        </a:xfrm>
        <a:prstGeom prst="rect">
          <a:avLst/>
        </a:prstGeom>
      </xdr:spPr>
    </xdr:pic>
    <xdr:clientData/>
  </xdr:twoCellAnchor>
  <xdr:twoCellAnchor>
    <xdr:from>
      <xdr:col>1</xdr:col>
      <xdr:colOff>2942116</xdr:colOff>
      <xdr:row>146</xdr:row>
      <xdr:rowOff>118667</xdr:rowOff>
    </xdr:from>
    <xdr:to>
      <xdr:col>1</xdr:col>
      <xdr:colOff>5019675</xdr:colOff>
      <xdr:row>148</xdr:row>
      <xdr:rowOff>180974</xdr:rowOff>
    </xdr:to>
    <xdr:sp macro="" textlink="">
      <xdr:nvSpPr>
        <xdr:cNvPr id="183" name="Passo" descr="Tudo sobre a função MÉDIA.SE.S, com hiperligação para a Web&#10;&#10;">
          <a:hlinkClick xmlns:r="http://schemas.openxmlformats.org/officeDocument/2006/relationships" r:id="rId9" tooltip="Selecione para aceder à Web e saber tudo sobre a função MÉDIA.SE.S"/>
          <a:extLst>
            <a:ext uri="{FF2B5EF4-FFF2-40B4-BE49-F238E27FC236}">
              <a16:creationId xmlns:a16="http://schemas.microsoft.com/office/drawing/2014/main" id="{5979CD87-1D2E-4D32-BF44-CE7F4285B790}"/>
            </a:ext>
          </a:extLst>
        </xdr:cNvPr>
        <xdr:cNvSpPr txBox="1"/>
      </xdr:nvSpPr>
      <xdr:spPr>
        <a:xfrm>
          <a:off x="3789841" y="28579367"/>
          <a:ext cx="2077559" cy="443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MÉDIA.SE.S</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função</a:t>
          </a:r>
        </a:p>
      </xdr:txBody>
    </xdr:sp>
    <xdr:clientData/>
  </xdr:twoCellAnchor>
  <xdr:twoCellAnchor>
    <xdr:from>
      <xdr:col>1</xdr:col>
      <xdr:colOff>2467406</xdr:colOff>
      <xdr:row>146</xdr:row>
      <xdr:rowOff>100684</xdr:rowOff>
    </xdr:from>
    <xdr:to>
      <xdr:col>1</xdr:col>
      <xdr:colOff>2962138</xdr:colOff>
      <xdr:row>148</xdr:row>
      <xdr:rowOff>167888</xdr:rowOff>
    </xdr:to>
    <xdr:pic>
      <xdr:nvPicPr>
        <xdr:cNvPr id="184"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15131" y="28561384"/>
          <a:ext cx="494732" cy="448204"/>
        </a:xfrm>
        <a:prstGeom prst="rect">
          <a:avLst/>
        </a:prstGeom>
      </xdr:spPr>
    </xdr:pic>
    <xdr:clientData/>
  </xdr:twoCellAnchor>
  <xdr:twoCellAnchor>
    <xdr:from>
      <xdr:col>1</xdr:col>
      <xdr:colOff>160816</xdr:colOff>
      <xdr:row>146</xdr:row>
      <xdr:rowOff>166293</xdr:rowOff>
    </xdr:from>
    <xdr:to>
      <xdr:col>1</xdr:col>
      <xdr:colOff>2516835</xdr:colOff>
      <xdr:row>148</xdr:row>
      <xdr:rowOff>102279</xdr:rowOff>
    </xdr:to>
    <xdr:sp macro="" textlink="">
      <xdr:nvSpPr>
        <xdr:cNvPr id="185" name="Passo" descr="Tudo sobre a função MÉDIA.SE, com hiperligação para a Web&#10;&#10;">
          <a:hlinkClick xmlns:r="http://schemas.openxmlformats.org/officeDocument/2006/relationships" r:id="rId10" tooltip="Selecione para aceder à Web e saber tudo sobre a função MÉDIA.SE"/>
          <a:extLst>
            <a:ext uri="{FF2B5EF4-FFF2-40B4-BE49-F238E27FC236}">
              <a16:creationId xmlns:a16="http://schemas.microsoft.com/office/drawing/2014/main" id="{9FF9239A-F102-47F3-A0A3-68BDFAFB9C67}"/>
            </a:ext>
          </a:extLst>
        </xdr:cNvPr>
        <xdr:cNvSpPr txBox="1"/>
      </xdr:nvSpPr>
      <xdr:spPr>
        <a:xfrm>
          <a:off x="1008541" y="28626993"/>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a:t>
          </a:r>
        </a:p>
      </xdr:txBody>
    </xdr:sp>
    <xdr:clientData/>
  </xdr:twoCellAnchor>
  <xdr:twoCellAnchor>
    <xdr:from>
      <xdr:col>0</xdr:col>
      <xdr:colOff>543356</xdr:colOff>
      <xdr:row>146</xdr:row>
      <xdr:rowOff>98302</xdr:rowOff>
    </xdr:from>
    <xdr:to>
      <xdr:col>1</xdr:col>
      <xdr:colOff>190363</xdr:colOff>
      <xdr:row>148</xdr:row>
      <xdr:rowOff>165506</xdr:rowOff>
    </xdr:to>
    <xdr:pic>
      <xdr:nvPicPr>
        <xdr:cNvPr id="186"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356" y="28559002"/>
          <a:ext cx="494732" cy="448204"/>
        </a:xfrm>
        <a:prstGeom prst="rect">
          <a:avLst/>
        </a:prstGeom>
      </xdr:spPr>
    </xdr:pic>
    <xdr:clientData/>
  </xdr:twoCellAnchor>
  <xdr:twoCellAnchor>
    <xdr:from>
      <xdr:col>1</xdr:col>
      <xdr:colOff>160815</xdr:colOff>
      <xdr:row>149</xdr:row>
      <xdr:rowOff>28180</xdr:rowOff>
    </xdr:from>
    <xdr:to>
      <xdr:col>1</xdr:col>
      <xdr:colOff>2581275</xdr:colOff>
      <xdr:row>150</xdr:row>
      <xdr:rowOff>154666</xdr:rowOff>
    </xdr:to>
    <xdr:sp macro="" textlink="">
      <xdr:nvSpPr>
        <xdr:cNvPr id="187" name="Passo" descr="Tudo sobre a função MÍNIMO.SE.S, com hiperligação para a Web&#10;&#10;">
          <a:hlinkClick xmlns:r="http://schemas.openxmlformats.org/officeDocument/2006/relationships" r:id="rId11" tooltip="Selecione para aceder à Web e saber tudo sobre a função MÍNIMO.SE.S"/>
          <a:extLst>
            <a:ext uri="{FF2B5EF4-FFF2-40B4-BE49-F238E27FC236}">
              <a16:creationId xmlns:a16="http://schemas.microsoft.com/office/drawing/2014/main" id="{5BA88C28-4CAB-4843-A9C6-0DA18559CEDE}"/>
            </a:ext>
          </a:extLst>
        </xdr:cNvPr>
        <xdr:cNvSpPr txBox="1"/>
      </xdr:nvSpPr>
      <xdr:spPr>
        <a:xfrm>
          <a:off x="1008540" y="29060380"/>
          <a:ext cx="2420460"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MÍNIMO.SE.S</a:t>
          </a:r>
        </a:p>
      </xdr:txBody>
    </xdr:sp>
    <xdr:clientData/>
  </xdr:twoCellAnchor>
  <xdr:twoCellAnchor>
    <xdr:from>
      <xdr:col>0</xdr:col>
      <xdr:colOff>543356</xdr:colOff>
      <xdr:row>148</xdr:row>
      <xdr:rowOff>144736</xdr:rowOff>
    </xdr:from>
    <xdr:to>
      <xdr:col>1</xdr:col>
      <xdr:colOff>190363</xdr:colOff>
      <xdr:row>151</xdr:row>
      <xdr:rowOff>21440</xdr:rowOff>
    </xdr:to>
    <xdr:pic>
      <xdr:nvPicPr>
        <xdr:cNvPr id="188" name="Gráfico 22" descr="Seta">
          <a:hlinkClick xmlns:r="http://schemas.openxmlformats.org/officeDocument/2006/relationships" r:id="rId11" tooltip="Selecione para obter mais informações na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356" y="28986436"/>
          <a:ext cx="494732" cy="448204"/>
        </a:xfrm>
        <a:prstGeom prst="rect">
          <a:avLst/>
        </a:prstGeom>
      </xdr:spPr>
    </xdr:pic>
    <xdr:clientData/>
  </xdr:twoCellAnchor>
  <xdr:twoCellAnchor>
    <xdr:from>
      <xdr:col>1</xdr:col>
      <xdr:colOff>2932591</xdr:colOff>
      <xdr:row>144</xdr:row>
      <xdr:rowOff>37704</xdr:rowOff>
    </xdr:from>
    <xdr:to>
      <xdr:col>1</xdr:col>
      <xdr:colOff>5133975</xdr:colOff>
      <xdr:row>146</xdr:row>
      <xdr:rowOff>114299</xdr:rowOff>
    </xdr:to>
    <xdr:sp macro="" textlink="">
      <xdr:nvSpPr>
        <xdr:cNvPr id="189" name="Passo" descr="Tudo sobre a função CONTAR.SE.S, com hiperligação para a Web&#10;&#10;">
          <a:hlinkClick xmlns:r="http://schemas.openxmlformats.org/officeDocument/2006/relationships" r:id="rId12" tooltip="Selecione para aceder à Web e saber tudo sobre a função CONTAR.SE.S"/>
          <a:extLst>
            <a:ext uri="{FF2B5EF4-FFF2-40B4-BE49-F238E27FC236}">
              <a16:creationId xmlns:a16="http://schemas.microsoft.com/office/drawing/2014/main" id="{EADD320D-BECB-4510-A526-402BC7B8CE52}"/>
            </a:ext>
          </a:extLst>
        </xdr:cNvPr>
        <xdr:cNvSpPr txBox="1"/>
      </xdr:nvSpPr>
      <xdr:spPr>
        <a:xfrm>
          <a:off x="3780316" y="28117404"/>
          <a:ext cx="2201384" cy="45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CONTAR.SE.S</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função</a:t>
          </a:r>
        </a:p>
      </xdr:txBody>
    </xdr:sp>
    <xdr:clientData/>
  </xdr:twoCellAnchor>
  <xdr:twoCellAnchor>
    <xdr:from>
      <xdr:col>1</xdr:col>
      <xdr:colOff>2467406</xdr:colOff>
      <xdr:row>144</xdr:row>
      <xdr:rowOff>57821</xdr:rowOff>
    </xdr:from>
    <xdr:to>
      <xdr:col>1</xdr:col>
      <xdr:colOff>2962138</xdr:colOff>
      <xdr:row>146</xdr:row>
      <xdr:rowOff>125025</xdr:rowOff>
    </xdr:to>
    <xdr:pic>
      <xdr:nvPicPr>
        <xdr:cNvPr id="190" name="Gráfico 22" descr="Seta">
          <a:hlinkClick xmlns:r="http://schemas.openxmlformats.org/officeDocument/2006/relationships" r:id="rId12" tooltip="Selecione para obter mais informações na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15131" y="28137521"/>
          <a:ext cx="494732" cy="448204"/>
        </a:xfrm>
        <a:prstGeom prst="rect">
          <a:avLst/>
        </a:prstGeom>
      </xdr:spPr>
    </xdr:pic>
    <xdr:clientData/>
  </xdr:twoCellAnchor>
  <xdr:twoCellAnchor>
    <xdr:from>
      <xdr:col>1</xdr:col>
      <xdr:colOff>2932592</xdr:colOff>
      <xdr:row>142</xdr:row>
      <xdr:rowOff>13893</xdr:rowOff>
    </xdr:from>
    <xdr:to>
      <xdr:col>1</xdr:col>
      <xdr:colOff>4981576</xdr:colOff>
      <xdr:row>143</xdr:row>
      <xdr:rowOff>134029</xdr:rowOff>
    </xdr:to>
    <xdr:sp macro="" textlink="">
      <xdr:nvSpPr>
        <xdr:cNvPr id="191" name="Passo" descr="Tudo sobre a função SOMA.SE.S, com hiperligação para a Web&#10;&#10;">
          <a:hlinkClick xmlns:r="http://schemas.openxmlformats.org/officeDocument/2006/relationships" r:id="rId13" tooltip="Selecione para aceder à Web e saber tudo sobre a função SOMA.SE.S"/>
          <a:extLst>
            <a:ext uri="{FF2B5EF4-FFF2-40B4-BE49-F238E27FC236}">
              <a16:creationId xmlns:a16="http://schemas.microsoft.com/office/drawing/2014/main" id="{791E8E89-8DEE-430C-AEDB-E56F74AA279F}"/>
            </a:ext>
          </a:extLst>
        </xdr:cNvPr>
        <xdr:cNvSpPr txBox="1"/>
      </xdr:nvSpPr>
      <xdr:spPr>
        <a:xfrm>
          <a:off x="3780317" y="27712593"/>
          <a:ext cx="2048984"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SOMA.SE.S</a:t>
          </a:r>
        </a:p>
      </xdr:txBody>
    </xdr:sp>
    <xdr:clientData/>
  </xdr:twoCellAnchor>
  <xdr:twoCellAnchor>
    <xdr:from>
      <xdr:col>1</xdr:col>
      <xdr:colOff>2467406</xdr:colOff>
      <xdr:row>142</xdr:row>
      <xdr:rowOff>11784</xdr:rowOff>
    </xdr:from>
    <xdr:to>
      <xdr:col>1</xdr:col>
      <xdr:colOff>2962138</xdr:colOff>
      <xdr:row>144</xdr:row>
      <xdr:rowOff>72638</xdr:rowOff>
    </xdr:to>
    <xdr:pic>
      <xdr:nvPicPr>
        <xdr:cNvPr id="192" name="Gráfico 22" descr="Seta">
          <a:hlinkClick xmlns:r="http://schemas.openxmlformats.org/officeDocument/2006/relationships" r:id="rId13" tooltip="Selecione para obter mais informações na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15131" y="27710484"/>
          <a:ext cx="494732" cy="441854"/>
        </a:xfrm>
        <a:prstGeom prst="rect">
          <a:avLst/>
        </a:prstGeom>
      </xdr:spPr>
    </xdr:pic>
    <xdr:clientData/>
  </xdr:twoCellAnchor>
  <xdr:twoCellAnchor>
    <xdr:from>
      <xdr:col>1</xdr:col>
      <xdr:colOff>160816</xdr:colOff>
      <xdr:row>142</xdr:row>
      <xdr:rowOff>71043</xdr:rowOff>
    </xdr:from>
    <xdr:to>
      <xdr:col>1</xdr:col>
      <xdr:colOff>2362200</xdr:colOff>
      <xdr:row>144</xdr:row>
      <xdr:rowOff>679</xdr:rowOff>
    </xdr:to>
    <xdr:sp macro="" textlink="">
      <xdr:nvSpPr>
        <xdr:cNvPr id="193" name="Passo" descr="Tudo sobre a função SOMA.SE, com hiperligação para a Web&#10;&#10;">
          <a:hlinkClick xmlns:r="http://schemas.openxmlformats.org/officeDocument/2006/relationships" r:id="rId14" tooltip="Selecione para aceder à Web e saber tudo sobre a função SOMA.SE"/>
          <a:extLst>
            <a:ext uri="{FF2B5EF4-FFF2-40B4-BE49-F238E27FC236}">
              <a16:creationId xmlns:a16="http://schemas.microsoft.com/office/drawing/2014/main" id="{EAC8BE16-FCC7-483A-A30D-3B1F29F65450}"/>
            </a:ext>
          </a:extLst>
        </xdr:cNvPr>
        <xdr:cNvSpPr txBox="1"/>
      </xdr:nvSpPr>
      <xdr:spPr>
        <a:xfrm>
          <a:off x="1008541" y="27769743"/>
          <a:ext cx="2201384"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p>
      </xdr:txBody>
    </xdr:sp>
    <xdr:clientData/>
  </xdr:twoCellAnchor>
  <xdr:twoCellAnchor>
    <xdr:from>
      <xdr:col>0</xdr:col>
      <xdr:colOff>543356</xdr:colOff>
      <xdr:row>142</xdr:row>
      <xdr:rowOff>11784</xdr:rowOff>
    </xdr:from>
    <xdr:to>
      <xdr:col>1</xdr:col>
      <xdr:colOff>190363</xdr:colOff>
      <xdr:row>144</xdr:row>
      <xdr:rowOff>72638</xdr:rowOff>
    </xdr:to>
    <xdr:pic>
      <xdr:nvPicPr>
        <xdr:cNvPr id="194" name="Gráfico 22" descr="Seta">
          <a:hlinkClick xmlns:r="http://schemas.openxmlformats.org/officeDocument/2006/relationships" r:id="rId14" tooltip="Selecione para obter mais informações na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356" y="27710484"/>
          <a:ext cx="494732" cy="441854"/>
        </a:xfrm>
        <a:prstGeom prst="rect">
          <a:avLst/>
        </a:prstGeom>
      </xdr:spPr>
    </xdr:pic>
    <xdr:clientData/>
  </xdr:twoCellAnchor>
  <xdr:twoCellAnchor>
    <xdr:from>
      <xdr:col>1</xdr:col>
      <xdr:colOff>160816</xdr:colOff>
      <xdr:row>144</xdr:row>
      <xdr:rowOff>123430</xdr:rowOff>
    </xdr:from>
    <xdr:to>
      <xdr:col>1</xdr:col>
      <xdr:colOff>2724150</xdr:colOff>
      <xdr:row>146</xdr:row>
      <xdr:rowOff>59416</xdr:rowOff>
    </xdr:to>
    <xdr:sp macro="" textlink="">
      <xdr:nvSpPr>
        <xdr:cNvPr id="195" name="Passo" descr="Tudo sobre a função CONTAR.SE, com hiperligação para a Web&#10;&#10;">
          <a:hlinkClick xmlns:r="http://schemas.openxmlformats.org/officeDocument/2006/relationships" r:id="rId15" tooltip="Selecione para aceder à Web e saber tudo sobre a função CONTAR.SE"/>
          <a:extLst>
            <a:ext uri="{FF2B5EF4-FFF2-40B4-BE49-F238E27FC236}">
              <a16:creationId xmlns:a16="http://schemas.microsoft.com/office/drawing/2014/main" id="{C6912341-001C-497C-904C-1E09825E8C65}"/>
            </a:ext>
          </a:extLst>
        </xdr:cNvPr>
        <xdr:cNvSpPr txBox="1"/>
      </xdr:nvSpPr>
      <xdr:spPr>
        <a:xfrm>
          <a:off x="1008541" y="28203130"/>
          <a:ext cx="256333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a:t>
          </a:r>
          <a:r>
            <a:rPr lang="pt-p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função</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CONTAR.SE</a:t>
          </a:r>
        </a:p>
      </xdr:txBody>
    </xdr:sp>
    <xdr:clientData/>
  </xdr:twoCellAnchor>
  <xdr:twoCellAnchor>
    <xdr:from>
      <xdr:col>0</xdr:col>
      <xdr:colOff>543356</xdr:colOff>
      <xdr:row>144</xdr:row>
      <xdr:rowOff>51868</xdr:rowOff>
    </xdr:from>
    <xdr:to>
      <xdr:col>1</xdr:col>
      <xdr:colOff>190363</xdr:colOff>
      <xdr:row>146</xdr:row>
      <xdr:rowOff>119072</xdr:rowOff>
    </xdr:to>
    <xdr:pic>
      <xdr:nvPicPr>
        <xdr:cNvPr id="196" name="Gráfico 22" descr="Seta">
          <a:hlinkClick xmlns:r="http://schemas.openxmlformats.org/officeDocument/2006/relationships" r:id="rId15" tooltip="Selecione para obter mais informações na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356" y="28131568"/>
          <a:ext cx="494732" cy="448204"/>
        </a:xfrm>
        <a:prstGeom prst="rect">
          <a:avLst/>
        </a:prstGeom>
      </xdr:spPr>
    </xdr:pic>
    <xdr:clientData/>
  </xdr:twoCellAnchor>
  <xdr:twoCellAnchor>
    <xdr:from>
      <xdr:col>1</xdr:col>
      <xdr:colOff>160816</xdr:colOff>
      <xdr:row>151</xdr:row>
      <xdr:rowOff>66280</xdr:rowOff>
    </xdr:from>
    <xdr:to>
      <xdr:col>1</xdr:col>
      <xdr:colOff>2060992</xdr:colOff>
      <xdr:row>153</xdr:row>
      <xdr:rowOff>2266</xdr:rowOff>
    </xdr:to>
    <xdr:sp macro="" textlink="">
      <xdr:nvSpPr>
        <xdr:cNvPr id="197" name="Passo" descr="Criar uma lista pendente, com hiperligação para a Web&#10;&#10;">
          <a:hlinkClick xmlns:r="http://schemas.openxmlformats.org/officeDocument/2006/relationships" r:id="rId16" tooltip="Selecione para aceder à Web e saber tudo sobre como criar uma lista pendente"/>
          <a:extLst>
            <a:ext uri="{FF2B5EF4-FFF2-40B4-BE49-F238E27FC236}">
              <a16:creationId xmlns:a16="http://schemas.microsoft.com/office/drawing/2014/main" id="{0E1FD4BB-1B69-400F-9A73-D9D7B8667E1C}"/>
            </a:ext>
          </a:extLst>
        </xdr:cNvPr>
        <xdr:cNvSpPr txBox="1"/>
      </xdr:nvSpPr>
      <xdr:spPr>
        <a:xfrm>
          <a:off x="1008541" y="29479480"/>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lista pendente</a:t>
          </a:r>
        </a:p>
      </xdr:txBody>
    </xdr:sp>
    <xdr:clientData/>
  </xdr:twoCellAnchor>
  <xdr:twoCellAnchor>
    <xdr:from>
      <xdr:col>0</xdr:col>
      <xdr:colOff>543356</xdr:colOff>
      <xdr:row>151</xdr:row>
      <xdr:rowOff>671</xdr:rowOff>
    </xdr:from>
    <xdr:to>
      <xdr:col>1</xdr:col>
      <xdr:colOff>190363</xdr:colOff>
      <xdr:row>153</xdr:row>
      <xdr:rowOff>67875</xdr:rowOff>
    </xdr:to>
    <xdr:pic>
      <xdr:nvPicPr>
        <xdr:cNvPr id="198" name="Gráfico 22" descr="Seta">
          <a:hlinkClick xmlns:r="http://schemas.openxmlformats.org/officeDocument/2006/relationships" r:id="rId16" tooltip="Selecione para obter mais informações na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356" y="29413871"/>
          <a:ext cx="494732" cy="448204"/>
        </a:xfrm>
        <a:prstGeom prst="rect">
          <a:avLst/>
        </a:prstGeom>
      </xdr:spPr>
    </xdr:pic>
    <xdr:clientData/>
  </xdr:twoCellAnchor>
  <xdr:twoCellAnchor editAs="absolute">
    <xdr:from>
      <xdr:col>0</xdr:col>
      <xdr:colOff>521883</xdr:colOff>
      <xdr:row>23</xdr:row>
      <xdr:rowOff>11430</xdr:rowOff>
    </xdr:from>
    <xdr:to>
      <xdr:col>1</xdr:col>
      <xdr:colOff>4915231</xdr:colOff>
      <xdr:row>27</xdr:row>
      <xdr:rowOff>87630</xdr:rowOff>
    </xdr:to>
    <xdr:grpSp>
      <xdr:nvGrpSpPr>
        <xdr:cNvPr id="4" name="Grupo 3">
          <a:extLst>
            <a:ext uri="{FF2B5EF4-FFF2-40B4-BE49-F238E27FC236}">
              <a16:creationId xmlns:a16="http://schemas.microsoft.com/office/drawing/2014/main" id="{5F83CBBA-90B0-4EB0-9AB8-57CF000EADA5}"/>
            </a:ext>
          </a:extLst>
        </xdr:cNvPr>
        <xdr:cNvGrpSpPr/>
      </xdr:nvGrpSpPr>
      <xdr:grpSpPr>
        <a:xfrm>
          <a:off x="518073" y="4968240"/>
          <a:ext cx="5263933" cy="838200"/>
          <a:chOff x="571500" y="4610100"/>
          <a:chExt cx="5229626" cy="838200"/>
        </a:xfrm>
      </xdr:grpSpPr>
      <xdr:sp macro="" textlink="">
        <xdr:nvSpPr>
          <xdr:cNvPr id="200" name="txt_Passo" descr="A função SOMA.SE.S é semelhante à função SOMA.SE, mas permite-lhe utilizar múltiplos critérios. Neste exemplo, pode procurar Fruta e Variedade em vez de apenas Fruta. Selecione a célula H17 e escreva =SOMA.SE.S(H3:H14;F3:F14;F17;G3:G14;G17). A função SOMA.SE.S tem a seguinte estrutura:&#10;&#10;&#10;">
            <a:extLst>
              <a:ext uri="{FF2B5EF4-FFF2-40B4-BE49-F238E27FC236}">
                <a16:creationId xmlns:a16="http://schemas.microsoft.com/office/drawing/2014/main" id="{4F912E6F-F743-47DF-85DF-3039C56B3212}"/>
              </a:ext>
            </a:extLst>
          </xdr:cNvPr>
          <xdr:cNvSpPr txBox="1"/>
        </xdr:nvSpPr>
        <xdr:spPr>
          <a:xfrm>
            <a:off x="991382" y="4652058"/>
            <a:ext cx="4809744" cy="796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semelhante à função SOMA.SE, mas permite-lhe utilizar múltiplos critérios. Neste exemplo, pode procurar Fruta e Variedade em vez de apenas Fruta. Selecione a célula H17 e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=SOMA.SE.S(H3:H14;F3:F14;F17;G3:G14;G17)</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tem a seguinte estrutura: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Passo"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365759</xdr:colOff>
      <xdr:row>115</xdr:row>
      <xdr:rowOff>163830</xdr:rowOff>
    </xdr:from>
    <xdr:to>
      <xdr:col>1</xdr:col>
      <xdr:colOff>5242559</xdr:colOff>
      <xdr:row>137</xdr:row>
      <xdr:rowOff>140970</xdr:rowOff>
    </xdr:to>
    <xdr:grpSp>
      <xdr:nvGrpSpPr>
        <xdr:cNvPr id="202" name="Mais informações sobre a função SOMA.SE"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xdr:nvGrpSpPr>
      <xdr:grpSpPr>
        <a:xfrm>
          <a:off x="361949" y="22056090"/>
          <a:ext cx="5743575" cy="3990975"/>
          <a:chOff x="347872" y="13364013"/>
          <a:chExt cx="5695950" cy="4210050"/>
        </a:xfrm>
      </xdr:grpSpPr>
      <xdr:sp macro="" textlink="">
        <xdr:nvSpPr>
          <xdr:cNvPr id="203" name="Retângulo 202" descr="Fundo">
            <a:extLst>
              <a:ext uri="{FF2B5EF4-FFF2-40B4-BE49-F238E27FC236}">
                <a16:creationId xmlns:a16="http://schemas.microsoft.com/office/drawing/2014/main" id="{511D36F9-540E-473D-938B-915FC423BB65}"/>
              </a:ext>
            </a:extLst>
          </xdr:cNvPr>
          <xdr:cNvSpPr/>
        </xdr:nvSpPr>
        <xdr:spPr>
          <a:xfrm>
            <a:off x="347872" y="13364013"/>
            <a:ext cx="5695950" cy="4210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04" name="Conexão Reta 203" descr="Linha decorativa">
            <a:extLst>
              <a:ext uri="{FF2B5EF4-FFF2-40B4-BE49-F238E27FC236}">
                <a16:creationId xmlns:a16="http://schemas.microsoft.com/office/drawing/2014/main" id="{8CE19759-2E0E-4B02-9036-C026578459EA}"/>
              </a:ext>
            </a:extLst>
          </xdr:cNvPr>
          <xdr:cNvCxnSpPr>
            <a:cxnSpLocks/>
          </xdr:cNvCxnSpPr>
        </xdr:nvCxnSpPr>
        <xdr:spPr>
          <a:xfrm>
            <a:off x="547944" y="14351434"/>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Conexão Reta 204" descr="Linha decorativa">
            <a:extLst>
              <a:ext uri="{FF2B5EF4-FFF2-40B4-BE49-F238E27FC236}">
                <a16:creationId xmlns:a16="http://schemas.microsoft.com/office/drawing/2014/main" id="{723D124C-02B5-4BA5-9E97-CD05528A4CEB}"/>
              </a:ext>
            </a:extLst>
          </xdr:cNvPr>
          <xdr:cNvCxnSpPr>
            <a:cxnSpLocks/>
          </xdr:cNvCxnSpPr>
        </xdr:nvCxnSpPr>
        <xdr:spPr>
          <a:xfrm>
            <a:off x="547944" y="1735635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Passo" descr="A função SOMA.SE com um argumento de valor&#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 função SOMA.SE com um argumento de valor</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Passo" descr="Eis um exemplo da função SOMA.SE a utilizar o argumento maior que (&gt;) para localizar todos os valores maiores que uma quantidade específica:&#10;&#10;">
            <a:extLst>
              <a:ext uri="{FF2B5EF4-FFF2-40B4-BE49-F238E27FC236}">
                <a16:creationId xmlns:a16="http://schemas.microsoft.com/office/drawing/2014/main" id="{792313DA-1F40-48BD-8EAF-3D313D4FB9FC}"/>
              </a:ext>
            </a:extLst>
          </xdr:cNvPr>
          <xdr:cNvSpPr txBox="1"/>
        </xdr:nvSpPr>
        <xdr:spPr>
          <a:xfrm>
            <a:off x="553342" y="14438907"/>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 exemplo da função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utilizar o argumento maior que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localizar todos os valores maiores que uma quantidade específica:</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Passo" descr="NOTA: se achar que está a criar demasiadas fórmulas SOMA.SE, talvez uma tabela dinâmica seja uma melhor solução. Clique para ver o artigo sobre tabelas dinâmicas na Web para obter mais informações&#10;">
            <a:hlinkClick xmlns:r="http://schemas.openxmlformats.org/officeDocument/2006/relationships" r:id="rId17" tooltip="Selecione para aceder à folha de cálculo Tabela Dinâmica"/>
            <a:extLst>
              <a:ext uri="{FF2B5EF4-FFF2-40B4-BE49-F238E27FC236}">
                <a16:creationId xmlns:a16="http://schemas.microsoft.com/office/drawing/2014/main" id="{34FB80A3-CAA8-4879-81AA-6C9C6DA04FF8}"/>
              </a:ext>
            </a:extLst>
          </xdr:cNvPr>
          <xdr:cNvSpPr txBox="1"/>
        </xdr:nvSpPr>
        <xdr:spPr>
          <a:xfrm>
            <a:off x="553342" y="16551247"/>
            <a:ext cx="5303780" cy="670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NOTA: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achar</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 está a criar demasiadas fórmulas condicionais, talvez uma tabela dinâmica seja uma melhor solução. </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Consulte este artigo sobre Tabelas Dinâmicas para obter mais informações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CaixaDeTexto 100" descr="=SOMA.SE(D118:D122;&quot;&gt;=50&quot;)&#10;&#10;&#10;">
            <a:extLst>
              <a:ext uri="{FF2B5EF4-FFF2-40B4-BE49-F238E27FC236}">
                <a16:creationId xmlns:a16="http://schemas.microsoft.com/office/drawing/2014/main" id="{081FEA47-A154-4881-BA88-6F77A1DA2820}"/>
              </a:ext>
            </a:extLst>
          </xdr:cNvPr>
          <xdr:cNvSpPr txBox="1"/>
        </xdr:nvSpPr>
        <xdr:spPr>
          <a:xfrm>
            <a:off x="541774" y="16106476"/>
            <a:ext cx="4857582"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effectLst/>
                <a:latin typeface="Courier New" panose="02070309020205020404" pitchFamily="49" charset="0"/>
                <a:ea typeface="Times New Roman" panose="02020603050405020304" pitchFamily="18" charset="0"/>
                <a:cs typeface="Courier New" panose="02070309020205020404" pitchFamily="49" charset="0"/>
              </a:rPr>
              <a:t>=</a:t>
            </a:r>
            <a:r>
              <a:rPr lang="pt-pt"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SOMA.SE(D118:D122;"&gt;=</a:t>
            </a:r>
            <a:r>
              <a:rPr lang="pt-pt"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210" name="Chaveta Esquerda 209">
            <a:extLst>
              <a:ext uri="{FF2B5EF4-FFF2-40B4-BE49-F238E27FC236}">
                <a16:creationId xmlns:a16="http://schemas.microsoft.com/office/drawing/2014/main" id="{D4198EE4-6DA5-4995-A5C3-297510D75CBC}"/>
              </a:ext>
            </a:extLst>
          </xdr:cNvPr>
          <xdr:cNvSpPr/>
        </xdr:nvSpPr>
        <xdr:spPr>
          <a:xfrm rot="5400000">
            <a:off x="1161267" y="15413313"/>
            <a:ext cx="158002" cy="10774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1" name="Caixa de Texto 2" descr="Some alguns valores com base neste critério:&#10;">
            <a:extLst>
              <a:ext uri="{FF2B5EF4-FFF2-40B4-BE49-F238E27FC236}">
                <a16:creationId xmlns:a16="http://schemas.microsoft.com/office/drawing/2014/main" id="{68686DE4-CB48-4915-8A63-E98D9F67B388}"/>
              </a:ext>
            </a:extLst>
          </xdr:cNvPr>
          <xdr:cNvSpPr txBox="1">
            <a:spLocks noChangeArrowheads="1"/>
          </xdr:cNvSpPr>
        </xdr:nvSpPr>
        <xdr:spPr bwMode="auto">
          <a:xfrm>
            <a:off x="749074" y="15023216"/>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Some alguns valores com base neste critério:</a:t>
            </a:r>
          </a:p>
        </xdr:txBody>
      </xdr:sp>
      <xdr:sp macro="" textlink="">
        <xdr:nvSpPr>
          <xdr:cNvPr id="212" name="Chaveta Esquerda 211">
            <a:extLst>
              <a:ext uri="{FF2B5EF4-FFF2-40B4-BE49-F238E27FC236}">
                <a16:creationId xmlns:a16="http://schemas.microsoft.com/office/drawing/2014/main" id="{1F715516-41DD-4007-B4E1-F5219D7F5E3F}"/>
              </a:ext>
            </a:extLst>
          </xdr:cNvPr>
          <xdr:cNvSpPr/>
        </xdr:nvSpPr>
        <xdr:spPr>
          <a:xfrm rot="5400000">
            <a:off x="2455044" y="15276283"/>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3" name="Caixa de Texto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2043171" y="15023502"/>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...Procure nestas células...</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Chaveta Esquerda 213">
            <a:extLst>
              <a:ext uri="{FF2B5EF4-FFF2-40B4-BE49-F238E27FC236}">
                <a16:creationId xmlns:a16="http://schemas.microsoft.com/office/drawing/2014/main" id="{DDE8A4F2-7D99-42CD-BA7B-3FD932A6B224}"/>
              </a:ext>
            </a:extLst>
          </xdr:cNvPr>
          <xdr:cNvSpPr/>
        </xdr:nvSpPr>
        <xdr:spPr>
          <a:xfrm rot="5400000">
            <a:off x="3693361" y="15524213"/>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5" name="Caixa de Texto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352811" y="15023502"/>
            <a:ext cx="1155664"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se o valor for superior a 50, some tudo.</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24</xdr:row>
      <xdr:rowOff>19050</xdr:rowOff>
    </xdr:to>
    <xdr:grpSp>
      <xdr:nvGrpSpPr>
        <xdr:cNvPr id="216" name="Grupo 215">
          <a:extLst>
            <a:ext uri="{FF2B5EF4-FFF2-40B4-BE49-F238E27FC236}">
              <a16:creationId xmlns:a16="http://schemas.microsoft.com/office/drawing/2014/main" id="{0FA38FBC-68F7-4669-920A-9D32BAD15061}"/>
            </a:ext>
          </a:extLst>
        </xdr:cNvPr>
        <xdr:cNvGrpSpPr/>
      </xdr:nvGrpSpPr>
      <xdr:grpSpPr>
        <a:xfrm>
          <a:off x="9698921" y="3964967"/>
          <a:ext cx="4518094" cy="1193773"/>
          <a:chOff x="9434126" y="7174892"/>
          <a:chExt cx="4148524" cy="1197583"/>
        </a:xfrm>
      </xdr:grpSpPr>
      <xdr:grpSp>
        <xdr:nvGrpSpPr>
          <xdr:cNvPr id="217" name="Grupo 216">
            <a:extLst>
              <a:ext uri="{FF2B5EF4-FFF2-40B4-BE49-F238E27FC236}">
                <a16:creationId xmlns:a16="http://schemas.microsoft.com/office/drawing/2014/main" id="{CD1F56E6-4339-49C4-BA4B-9E71C6AAB175}"/>
              </a:ext>
            </a:extLst>
          </xdr:cNvPr>
          <xdr:cNvGrpSpPr/>
        </xdr:nvGrpSpPr>
        <xdr:grpSpPr>
          <a:xfrm>
            <a:off x="9434126" y="7219374"/>
            <a:ext cx="4148524" cy="1153101"/>
            <a:chOff x="10339001" y="7219374"/>
            <a:chExt cx="4148524" cy="1153101"/>
          </a:xfrm>
        </xdr:grpSpPr>
        <xdr:grpSp>
          <xdr:nvGrpSpPr>
            <xdr:cNvPr id="219" name="SUGESTÃO AVANÇADA" descr="SUGESTÃO AVANÇADA">
              <a:extLst>
                <a:ext uri="{FF2B5EF4-FFF2-40B4-BE49-F238E27FC236}">
                  <a16:creationId xmlns:a16="http://schemas.microsoft.com/office/drawing/2014/main" id="{80AEA6E2-8705-424F-9170-D839A6C17C4E}"/>
                </a:ext>
              </a:extLst>
            </xdr:cNvPr>
            <xdr:cNvGrpSpPr/>
          </xdr:nvGrpSpPr>
          <xdr:grpSpPr>
            <a:xfrm>
              <a:off x="11734800" y="7219950"/>
              <a:ext cx="2752725" cy="1152525"/>
              <a:chOff x="8448675" y="2143125"/>
              <a:chExt cx="2419160" cy="1145492"/>
            </a:xfrm>
          </xdr:grpSpPr>
          <xdr:pic>
            <xdr:nvPicPr>
              <xdr:cNvPr id="221" name="Gráfico 2" descr="Coruja">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Passo"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1145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Cada célula das colunas Fruta e Variedade tem uma lista pendente, onde pode selecionar fruta diferente. Experimente e veja como as fórmulas são atualizadas automaticamente.</a:t>
                </a:r>
              </a:p>
            </xdr:txBody>
          </xdr:sp>
        </xdr:grpSp>
        <xdr:sp macro="" textlink="">
          <xdr:nvSpPr>
            <xdr:cNvPr id="220" name="Forma livre: forma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218" name="Forma livre: forma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xdr:from>
      <xdr:col>1</xdr:col>
      <xdr:colOff>200025</xdr:colOff>
      <xdr:row>12</xdr:row>
      <xdr:rowOff>85725</xdr:rowOff>
    </xdr:from>
    <xdr:to>
      <xdr:col>1</xdr:col>
      <xdr:colOff>4886325</xdr:colOff>
      <xdr:row>22</xdr:row>
      <xdr:rowOff>104775</xdr:rowOff>
    </xdr:to>
    <xdr:grpSp>
      <xdr:nvGrpSpPr>
        <xdr:cNvPr id="223" name="Grupo 222">
          <a:extLst>
            <a:ext uri="{FF2B5EF4-FFF2-40B4-BE49-F238E27FC236}">
              <a16:creationId xmlns:a16="http://schemas.microsoft.com/office/drawing/2014/main" id="{6D0DD3D5-631D-4EF0-B8E5-3D745F7C34F8}"/>
            </a:ext>
          </a:extLst>
        </xdr:cNvPr>
        <xdr:cNvGrpSpPr/>
      </xdr:nvGrpSpPr>
      <xdr:grpSpPr>
        <a:xfrm>
          <a:off x="1068705" y="2945130"/>
          <a:ext cx="4686300" cy="1920240"/>
          <a:chOff x="3048000" y="4524375"/>
          <a:chExt cx="4686300" cy="1924050"/>
        </a:xfrm>
      </xdr:grpSpPr>
      <xdr:sp macro="" textlink="">
        <xdr:nvSpPr>
          <xdr:cNvPr id="224" name="txt_Fórmula" descr="=SOMA.SE(C3:C14;C17;D3:D4)&#10;">
            <a:extLst>
              <a:ext uri="{FF2B5EF4-FFF2-40B4-BE49-F238E27FC236}">
                <a16:creationId xmlns:a16="http://schemas.microsoft.com/office/drawing/2014/main" id="{DCB35442-6216-467A-BC97-109CD36E5CB5}"/>
              </a:ext>
            </a:extLst>
          </xdr:cNvPr>
          <xdr:cNvSpPr txBox="1"/>
        </xdr:nvSpPr>
        <xdr:spPr>
          <a:xfrm>
            <a:off x="3048000" y="5334000"/>
            <a:ext cx="43910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=SOMA.SE(C3:C14;C17;D3:D14)</a:t>
            </a:r>
            <a:endParaRPr lang="en-US" sz="2000">
              <a:effectLst/>
              <a:latin typeface="Courier New" panose="02070309020205020404" pitchFamily="49" charset="0"/>
              <a:ea typeface="Times New Roman" panose="02020603050405020304" pitchFamily="18" charset="0"/>
            </a:endParaRPr>
          </a:p>
        </xdr:txBody>
      </xdr:sp>
      <xdr:grpSp>
        <xdr:nvGrpSpPr>
          <xdr:cNvPr id="225" name="Grupo 224">
            <a:extLst>
              <a:ext uri="{FF2B5EF4-FFF2-40B4-BE49-F238E27FC236}">
                <a16:creationId xmlns:a16="http://schemas.microsoft.com/office/drawing/2014/main" id="{32BCCB5A-A2CD-497F-BF2F-258696BB6511}"/>
              </a:ext>
            </a:extLst>
          </xdr:cNvPr>
          <xdr:cNvGrpSpPr/>
        </xdr:nvGrpSpPr>
        <xdr:grpSpPr>
          <a:xfrm>
            <a:off x="3962399" y="4524375"/>
            <a:ext cx="1351592" cy="861227"/>
            <a:chOff x="3962399" y="4524375"/>
            <a:chExt cx="1351592" cy="861227"/>
          </a:xfrm>
        </xdr:grpSpPr>
        <xdr:sp macro="" textlink="">
          <xdr:nvSpPr>
            <xdr:cNvPr id="232" name="ChavetaDaFórmulaSuperior">
              <a:extLst>
                <a:ext uri="{FF2B5EF4-FFF2-40B4-BE49-F238E27FC236}">
                  <a16:creationId xmlns:a16="http://schemas.microsoft.com/office/drawing/2014/main" id="{30BE69DA-1183-4CDD-B940-0CD4E6DE5022}"/>
                </a:ext>
              </a:extLst>
            </xdr:cNvPr>
            <xdr:cNvSpPr/>
          </xdr:nvSpPr>
          <xdr:spPr>
            <a:xfrm rot="5400000">
              <a:off x="46076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3" name="txt_BalãoDaFórmulaSuperior" descr="Em que intervalo quer procurar?&#10;&#10;">
              <a:extLst>
                <a:ext uri="{FF2B5EF4-FFF2-40B4-BE49-F238E27FC236}">
                  <a16:creationId xmlns:a16="http://schemas.microsoft.com/office/drawing/2014/main" id="{FC61B534-CB59-4B54-8582-02E46A40345E}"/>
                </a:ext>
              </a:extLst>
            </xdr:cNvPr>
            <xdr:cNvSpPr txBox="1">
              <a:spLocks noChangeArrowheads="1"/>
            </xdr:cNvSpPr>
          </xdr:nvSpPr>
          <xdr:spPr bwMode="auto">
            <a:xfrm>
              <a:off x="3962399" y="4524375"/>
              <a:ext cx="119062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Em que intervalo quer procurar?</a:t>
              </a:r>
            </a:p>
          </xdr:txBody>
        </xdr:sp>
      </xdr:grpSp>
      <xdr:grpSp>
        <xdr:nvGrpSpPr>
          <xdr:cNvPr id="226" name="Grupo 225">
            <a:extLst>
              <a:ext uri="{FF2B5EF4-FFF2-40B4-BE49-F238E27FC236}">
                <a16:creationId xmlns:a16="http://schemas.microsoft.com/office/drawing/2014/main" id="{6FA221CD-940C-4567-B73C-941BDC0DD971}"/>
              </a:ext>
            </a:extLst>
          </xdr:cNvPr>
          <xdr:cNvGrpSpPr/>
        </xdr:nvGrpSpPr>
        <xdr:grpSpPr>
          <a:xfrm>
            <a:off x="5276849" y="4524375"/>
            <a:ext cx="2457451" cy="861228"/>
            <a:chOff x="5276849" y="4524375"/>
            <a:chExt cx="2457451" cy="861228"/>
          </a:xfrm>
        </xdr:grpSpPr>
        <xdr:sp macro="" textlink="">
          <xdr:nvSpPr>
            <xdr:cNvPr id="230" name="ChavetaDaFórmulaSuperior">
              <a:extLst>
                <a:ext uri="{FF2B5EF4-FFF2-40B4-BE49-F238E27FC236}">
                  <a16:creationId xmlns:a16="http://schemas.microsoft.com/office/drawing/2014/main" id="{0F30C154-2F1F-4A51-9F6F-727C94B1953E}"/>
                </a:ext>
              </a:extLst>
            </xdr:cNvPr>
            <xdr:cNvSpPr/>
          </xdr:nvSpPr>
          <xdr:spPr>
            <a:xfrm rot="5400000">
              <a:off x="6294036" y="4659715"/>
              <a:ext cx="499277" cy="9525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1" name="txt_BalãoDaFórmulaSuperior" descr="Para cada correspondência encontrada, que intervalo quer somar?&#10;&#10;">
              <a:extLst>
                <a:ext uri="{FF2B5EF4-FFF2-40B4-BE49-F238E27FC236}">
                  <a16:creationId xmlns:a16="http://schemas.microsoft.com/office/drawing/2014/main" id="{DA6683AA-4CC0-471A-A679-B838AA382F23}"/>
                </a:ext>
              </a:extLst>
            </xdr:cNvPr>
            <xdr:cNvSpPr txBox="1">
              <a:spLocks noChangeArrowheads="1"/>
            </xdr:cNvSpPr>
          </xdr:nvSpPr>
          <xdr:spPr bwMode="auto">
            <a:xfrm>
              <a:off x="5276849" y="4524375"/>
              <a:ext cx="2457451"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Para cada correspondência encontrada, que intervalo quer somar?</a:t>
              </a:r>
            </a:p>
          </xdr:txBody>
        </xdr:sp>
      </xdr:grpSp>
      <xdr:grpSp>
        <xdr:nvGrpSpPr>
          <xdr:cNvPr id="227" name="Grupo 226">
            <a:extLst>
              <a:ext uri="{FF2B5EF4-FFF2-40B4-BE49-F238E27FC236}">
                <a16:creationId xmlns:a16="http://schemas.microsoft.com/office/drawing/2014/main" id="{19ECD3AD-6B72-4E46-8FCA-D4C2D3D56A1B}"/>
              </a:ext>
            </a:extLst>
          </xdr:cNvPr>
          <xdr:cNvGrpSpPr/>
        </xdr:nvGrpSpPr>
        <xdr:grpSpPr>
          <a:xfrm>
            <a:off x="4781550" y="5610223"/>
            <a:ext cx="1838325" cy="838202"/>
            <a:chOff x="4781550" y="5610223"/>
            <a:chExt cx="1838325" cy="838202"/>
          </a:xfrm>
        </xdr:grpSpPr>
        <xdr:sp macro="" textlink="">
          <xdr:nvSpPr>
            <xdr:cNvPr id="228" name="ChavetaDaFórmulaInferior">
              <a:extLst>
                <a:ext uri="{FF2B5EF4-FFF2-40B4-BE49-F238E27FC236}">
                  <a16:creationId xmlns:a16="http://schemas.microsoft.com/office/drawing/2014/main" id="{C4C24EC1-E28F-4850-952E-C211297DA95C}"/>
                </a:ext>
              </a:extLst>
            </xdr:cNvPr>
            <xdr:cNvSpPr/>
          </xdr:nvSpPr>
          <xdr:spPr>
            <a:xfrm rot="16200000">
              <a:off x="54463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29" name="txt_BalãoDaFórmulaInferior" descr="Que valor (texto ou número) quer procurar?&#10;&#10;">
              <a:extLst>
                <a:ext uri="{FF2B5EF4-FFF2-40B4-BE49-F238E27FC236}">
                  <a16:creationId xmlns:a16="http://schemas.microsoft.com/office/drawing/2014/main" id="{B9D27F57-F8C2-4EE5-AF26-66707B0E05AE}"/>
                </a:ext>
              </a:extLst>
            </xdr:cNvPr>
            <xdr:cNvSpPr txBox="1">
              <a:spLocks noChangeArrowheads="1"/>
            </xdr:cNvSpPr>
          </xdr:nvSpPr>
          <xdr:spPr bwMode="auto">
            <a:xfrm>
              <a:off x="4781550" y="5962650"/>
              <a:ext cx="1838325" cy="485775"/>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Que valor (texto ou número) quer procurar?</a:t>
              </a:r>
            </a:p>
          </xdr:txBody>
        </xdr:sp>
      </xdr:grpSp>
    </xdr:grpSp>
    <xdr:clientData/>
  </xdr:twoCellAnchor>
  <xdr:twoCellAnchor>
    <xdr:from>
      <xdr:col>0</xdr:col>
      <xdr:colOff>371475</xdr:colOff>
      <xdr:row>28</xdr:row>
      <xdr:rowOff>152400</xdr:rowOff>
    </xdr:from>
    <xdr:to>
      <xdr:col>1</xdr:col>
      <xdr:colOff>5162550</xdr:colOff>
      <xdr:row>43</xdr:row>
      <xdr:rowOff>0</xdr:rowOff>
    </xdr:to>
    <xdr:grpSp>
      <xdr:nvGrpSpPr>
        <xdr:cNvPr id="234" name="Grupo 233">
          <a:extLst>
            <a:ext uri="{FF2B5EF4-FFF2-40B4-BE49-F238E27FC236}">
              <a16:creationId xmlns:a16="http://schemas.microsoft.com/office/drawing/2014/main" id="{728ED977-068D-4BDD-9900-E7A1A0E01A3A}"/>
            </a:ext>
          </a:extLst>
        </xdr:cNvPr>
        <xdr:cNvGrpSpPr/>
      </xdr:nvGrpSpPr>
      <xdr:grpSpPr>
        <a:xfrm>
          <a:off x="369570" y="6057900"/>
          <a:ext cx="5655945" cy="2638425"/>
          <a:chOff x="3048000" y="2390775"/>
          <a:chExt cx="5762625" cy="2766074"/>
        </a:xfrm>
      </xdr:grpSpPr>
      <xdr:sp macro="" textlink="">
        <xdr:nvSpPr>
          <xdr:cNvPr id="235" name="ChavetaDaFórmulaInferior">
            <a:extLst>
              <a:ext uri="{FF2B5EF4-FFF2-40B4-BE49-F238E27FC236}">
                <a16:creationId xmlns:a16="http://schemas.microsoft.com/office/drawing/2014/main" id="{453E28FE-C60F-4575-A21E-10394924F1B6}"/>
              </a:ext>
            </a:extLst>
          </xdr:cNvPr>
          <xdr:cNvSpPr/>
        </xdr:nvSpPr>
        <xdr:spPr>
          <a:xfrm rot="16200000">
            <a:off x="7407683" y="3712802"/>
            <a:ext cx="499277" cy="8270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6" name="ChavetaDaFórmulaInferior">
            <a:extLst>
              <a:ext uri="{FF2B5EF4-FFF2-40B4-BE49-F238E27FC236}">
                <a16:creationId xmlns:a16="http://schemas.microsoft.com/office/drawing/2014/main" id="{B085E19B-EB18-43E6-AB6C-14F6D2AFA1F7}"/>
              </a:ext>
            </a:extLst>
          </xdr:cNvPr>
          <xdr:cNvSpPr/>
        </xdr:nvSpPr>
        <xdr:spPr>
          <a:xfrm rot="16200000">
            <a:off x="5815617" y="3678205"/>
            <a:ext cx="499277" cy="8962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7" name="ChavetaDaFórmulaSuperior">
            <a:extLst>
              <a:ext uri="{FF2B5EF4-FFF2-40B4-BE49-F238E27FC236}">
                <a16:creationId xmlns:a16="http://schemas.microsoft.com/office/drawing/2014/main" id="{603AD5F7-68AF-446A-BFE6-540AB775EE0B}"/>
              </a:ext>
            </a:extLst>
          </xdr:cNvPr>
          <xdr:cNvSpPr/>
        </xdr:nvSpPr>
        <xdr:spPr>
          <a:xfrm rot="5400000">
            <a:off x="8191928" y="3167955"/>
            <a:ext cx="499277" cy="4689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8" name="ChavetaDaFórmulaSuperior">
            <a:extLst>
              <a:ext uri="{FF2B5EF4-FFF2-40B4-BE49-F238E27FC236}">
                <a16:creationId xmlns:a16="http://schemas.microsoft.com/office/drawing/2014/main" id="{7F46ED5B-D0A5-48EA-9808-55AA0B5DCFB6}"/>
              </a:ext>
            </a:extLst>
          </xdr:cNvPr>
          <xdr:cNvSpPr/>
        </xdr:nvSpPr>
        <xdr:spPr>
          <a:xfrm rot="5400000">
            <a:off x="6616417" y="3166531"/>
            <a:ext cx="499277" cy="47176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9" name="ChavetaDaFórmulaSuperior">
            <a:extLst>
              <a:ext uri="{FF2B5EF4-FFF2-40B4-BE49-F238E27FC236}">
                <a16:creationId xmlns:a16="http://schemas.microsoft.com/office/drawing/2014/main" id="{2B008E04-D970-4F41-8120-26A572840D06}"/>
              </a:ext>
            </a:extLst>
          </xdr:cNvPr>
          <xdr:cNvSpPr/>
        </xdr:nvSpPr>
        <xdr:spPr>
          <a:xfrm rot="5400000">
            <a:off x="4805555" y="2966333"/>
            <a:ext cx="499277" cy="87216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40" name="txt_Fórmula" descr="=SOMA.SE.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1900" spc="-30" baseline="0">
                <a:solidFill>
                  <a:srgbClr val="000000"/>
                </a:solidFill>
                <a:effectLst/>
                <a:latin typeface="Courier New" panose="02070309020205020404" pitchFamily="49" charset="0"/>
                <a:ea typeface="Times New Roman" panose="02020603050405020304" pitchFamily="18" charset="0"/>
              </a:rPr>
              <a:t>=SOMA.SE.S(H3:H14;F3:F14;F17;G3:G14;G17)</a:t>
            </a:r>
            <a:endParaRPr lang="en-US" sz="1900" spc="-30" baseline="0">
              <a:effectLst/>
              <a:latin typeface="Courier New" panose="02070309020205020404" pitchFamily="49" charset="0"/>
              <a:ea typeface="Times New Roman" panose="02020603050405020304" pitchFamily="18" charset="0"/>
            </a:endParaRPr>
          </a:p>
        </xdr:txBody>
      </xdr:sp>
      <xdr:sp macro="" textlink="">
        <xdr:nvSpPr>
          <xdr:cNvPr id="241" name="txt_BalãoDaFórmulaSuperior" descr="Que intervalo quer somar?&#10;&#10;">
            <a:extLst>
              <a:ext uri="{FF2B5EF4-FFF2-40B4-BE49-F238E27FC236}">
                <a16:creationId xmlns:a16="http://schemas.microsoft.com/office/drawing/2014/main" id="{5209C66A-5C8F-41D1-8DB2-9F8FD328852E}"/>
              </a:ext>
            </a:extLst>
          </xdr:cNvPr>
          <xdr:cNvSpPr txBox="1">
            <a:spLocks noChangeArrowheads="1"/>
          </xdr:cNvSpPr>
        </xdr:nvSpPr>
        <xdr:spPr bwMode="auto">
          <a:xfrm>
            <a:off x="457953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Que intervalo quer somar?</a:t>
            </a:r>
          </a:p>
        </xdr:txBody>
      </xdr:sp>
      <xdr:sp macro="" textlink="">
        <xdr:nvSpPr>
          <xdr:cNvPr id="242" name="txt_BalãoDaFórmulaSuperior" descr="Estes são os critérios para a primeira correspondência&#10;&#10;">
            <a:extLst>
              <a:ext uri="{FF2B5EF4-FFF2-40B4-BE49-F238E27FC236}">
                <a16:creationId xmlns:a16="http://schemas.microsoft.com/office/drawing/2014/main" id="{286630EC-EA3F-4D50-8FFF-0ED884EEF636}"/>
              </a:ext>
            </a:extLst>
          </xdr:cNvPr>
          <xdr:cNvSpPr txBox="1">
            <a:spLocks noChangeArrowheads="1"/>
          </xdr:cNvSpPr>
        </xdr:nvSpPr>
        <xdr:spPr bwMode="auto">
          <a:xfrm>
            <a:off x="6270008" y="2390775"/>
            <a:ext cx="1177926"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Estes são os critérios para a primeira correspondência</a:t>
            </a:r>
          </a:p>
        </xdr:txBody>
      </xdr:sp>
      <xdr:sp macro="" textlink="">
        <xdr:nvSpPr>
          <xdr:cNvPr id="243" name="txt_BalãoDaFórmulaSuperior" descr="Estes são os critérios para a segunda correspondência&#10;">
            <a:extLst>
              <a:ext uri="{FF2B5EF4-FFF2-40B4-BE49-F238E27FC236}">
                <a16:creationId xmlns:a16="http://schemas.microsoft.com/office/drawing/2014/main" id="{B3BB2D28-068F-4AB6-BFAC-B52FC9070566}"/>
              </a:ext>
            </a:extLst>
          </xdr:cNvPr>
          <xdr:cNvSpPr txBox="1">
            <a:spLocks noChangeArrowheads="1"/>
          </xdr:cNvSpPr>
        </xdr:nvSpPr>
        <xdr:spPr bwMode="auto">
          <a:xfrm>
            <a:off x="7564652" y="2390775"/>
            <a:ext cx="1228512"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Estes são os critérios para a segunda correspondência</a:t>
            </a:r>
          </a:p>
        </xdr:txBody>
      </xdr:sp>
      <xdr:sp macro="" textlink="">
        <xdr:nvSpPr>
          <xdr:cNvPr id="244" name="txt_BalãoDaFórmulaInferior" descr="Este é o primeiro intervalo onde procurar correspondências&#10;&#10;">
            <a:extLst>
              <a:ext uri="{FF2B5EF4-FFF2-40B4-BE49-F238E27FC236}">
                <a16:creationId xmlns:a16="http://schemas.microsoft.com/office/drawing/2014/main" id="{0209406C-4AC6-478F-BBC6-E1CFFB3DE19A}"/>
              </a:ext>
            </a:extLst>
          </xdr:cNvPr>
          <xdr:cNvSpPr txBox="1">
            <a:spLocks noChangeArrowheads="1"/>
          </xdr:cNvSpPr>
        </xdr:nvSpPr>
        <xdr:spPr bwMode="auto">
          <a:xfrm>
            <a:off x="5441284" y="4257675"/>
            <a:ext cx="1266761"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 é o primeiro intervalo onde procurar correspondências</a:t>
            </a:r>
          </a:p>
        </xdr:txBody>
      </xdr:sp>
      <xdr:sp macro="" textlink="">
        <xdr:nvSpPr>
          <xdr:cNvPr id="245" name="txt_BalãoDaFórmulaInferior" descr="Este é o segundo intervalo onde procurar correspondência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4" y="4257675"/>
            <a:ext cx="1294257"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 é o segundo intervalo onde procurar correspondências</a:t>
            </a:r>
          </a:p>
        </xdr:txBody>
      </xdr:sp>
    </xdr:grpSp>
    <xdr:clientData/>
  </xdr:twoCellAnchor>
  <xdr:twoCellAnchor>
    <xdr:from>
      <xdr:col>0</xdr:col>
      <xdr:colOff>581025</xdr:colOff>
      <xdr:row>44</xdr:row>
      <xdr:rowOff>95250</xdr:rowOff>
    </xdr:from>
    <xdr:to>
      <xdr:col>1</xdr:col>
      <xdr:colOff>2456367</xdr:colOff>
      <xdr:row>47</xdr:row>
      <xdr:rowOff>54674</xdr:rowOff>
    </xdr:to>
    <xdr:sp macro="" textlink="">
      <xdr:nvSpPr>
        <xdr:cNvPr id="246" name="Botão para ver mais detalhes" descr="Desça para ver mais detalhes">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90487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xdr:from>
      <xdr:col>0</xdr:col>
      <xdr:colOff>361950</xdr:colOff>
      <xdr:row>91</xdr:row>
      <xdr:rowOff>114300</xdr:rowOff>
    </xdr:from>
    <xdr:to>
      <xdr:col>1</xdr:col>
      <xdr:colOff>5248275</xdr:colOff>
      <xdr:row>115</xdr:row>
      <xdr:rowOff>84051</xdr:rowOff>
    </xdr:to>
    <xdr:grpSp>
      <xdr:nvGrpSpPr>
        <xdr:cNvPr id="247" name="Grupo 246">
          <a:extLst>
            <a:ext uri="{FF2B5EF4-FFF2-40B4-BE49-F238E27FC236}">
              <a16:creationId xmlns:a16="http://schemas.microsoft.com/office/drawing/2014/main" id="{09584E15-D790-4D76-92D3-066AB32B2FF1}"/>
            </a:ext>
          </a:extLst>
        </xdr:cNvPr>
        <xdr:cNvGrpSpPr/>
      </xdr:nvGrpSpPr>
      <xdr:grpSpPr>
        <a:xfrm>
          <a:off x="358140" y="17554575"/>
          <a:ext cx="5755005" cy="4419831"/>
          <a:chOff x="171450" y="17059274"/>
          <a:chExt cx="5734050" cy="4352925"/>
        </a:xfrm>
      </xdr:grpSpPr>
      <xdr:sp macro="" textlink="">
        <xdr:nvSpPr>
          <xdr:cNvPr id="248" name="txt_FundoDaApresentação" descr="Fundo">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CabeçalhoDaApresentação" descr="Mais funções condicionai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funções condicionais</a:t>
            </a:r>
          </a:p>
        </xdr:txBody>
      </xdr:sp>
      <xdr:cxnSp macro="">
        <xdr:nvCxnSpPr>
          <xdr:cNvPr id="250" name="txt_Linha1DaApresentação" descr="Linha decorativa">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Linha2DaApresentação" descr="Linha decorativa">
            <a:extLst>
              <a:ext uri="{FF2B5EF4-FFF2-40B4-BE49-F238E27FC236}">
                <a16:creationId xmlns:a16="http://schemas.microsoft.com/office/drawing/2014/main" id="{27456BD0-9A31-4908-B32F-01511DF14E1C}"/>
              </a:ext>
            </a:extLst>
          </xdr:cNvPr>
          <xdr:cNvCxnSpPr>
            <a:cxnSpLocks/>
          </xdr:cNvCxnSpPr>
        </xdr:nvCxnSpPr>
        <xdr:spPr>
          <a:xfrm>
            <a:off x="374653" y="20733544"/>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IntroduçãoDaApresentaçã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106,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3"/>
            <a:ext cx="5257638" cy="278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Já viu as funções SOMA.SE, SOMA.SE.S, CONTAR.SE e CONTAR.SE.S. Agora pode experimentar sozinho com outras funções, tais como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MÍNIMO.SE.S</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Têm todas uma estrutura semelhante pelo que, depois de escrever uma fórmula, pode simplesmente substituir o nome da função pelo que pretende. Escrevemos todas as funções de que irá precisar na célula E106, pelo que pode copiar/colar estas ou escrevê-las manualmente para praticar.</a:t>
            </a:r>
          </a:p>
          <a:p>
            <a:pPr marL="0" marR="0" lvl="0" indent="0" defTabSz="914400" rtl="0" eaLnBrk="1" fontAlgn="auto" latinLnBrk="0" hangingPunct="1">
              <a:lnSpc>
                <a:spcPct val="100000"/>
              </a:lnSpc>
              <a:spcBef>
                <a:spcPts val="0"/>
              </a:spcBef>
              <a:spcAft>
                <a:spcPts val="0"/>
              </a:spcAft>
              <a:buClrTx/>
              <a:buSzTx/>
              <a:buFontTx/>
              <a:buNone/>
              <a:tabLst/>
              <a:defRPr/>
            </a:pPr>
            <a:endPar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 	     =SOMA.SE(C92:C103;C106;E92:E103)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SOMA.SE.S 	     =SOMA.SE.S(E92:E103;C92:C103;C106;D92:D103;D106)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 	     =MÉDIA.SE(C92:C103;C106;E92:E103)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	     =MÉDIA.SE.S(E92:E103;C92:C103;C106;D92:D103;D106)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CONTAR.SE 	     =CONTAR.SE(C92:C103;C106)</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CONTAR.SE.S      =CONTAR.SE.S(C92:C103;C106;D92:D103;D106)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     =MÁXIMO.SE.S(E92:E103;C92:C103;C106;D92:D103;D106)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MÍNIMO.SE.S      =MÍNIMO.SE.S(E92:E103;C92:C103;C106;D92:D103;D106)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3678921</xdr:colOff>
      <xdr:row>112</xdr:row>
      <xdr:rowOff>140970</xdr:rowOff>
    </xdr:from>
    <xdr:to>
      <xdr:col>1</xdr:col>
      <xdr:colOff>4950281</xdr:colOff>
      <xdr:row>114</xdr:row>
      <xdr:rowOff>93514</xdr:rowOff>
    </xdr:to>
    <xdr:sp macro="" textlink="">
      <xdr:nvSpPr>
        <xdr:cNvPr id="254" name="BotãoSeguinte" descr="Avançar para a folha seguinte">
          <a:hlinkClick xmlns:r="http://schemas.openxmlformats.org/officeDocument/2006/relationships" r:id="rId3" tooltip="Clique aqui para avançar para a folha seguinte"/>
          <a:extLst>
            <a:ext uri="{FF2B5EF4-FFF2-40B4-BE49-F238E27FC236}">
              <a16:creationId xmlns:a16="http://schemas.microsoft.com/office/drawing/2014/main" id="{9817BA26-3F9D-4337-96B5-9647A836BC8B}"/>
            </a:ext>
          </a:extLst>
        </xdr:cNvPr>
        <xdr:cNvSpPr/>
      </xdr:nvSpPr>
      <xdr:spPr>
        <a:xfrm>
          <a:off x="4522836" y="220884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358140</xdr:colOff>
      <xdr:row>48</xdr:row>
      <xdr:rowOff>129541</xdr:rowOff>
    </xdr:from>
    <xdr:to>
      <xdr:col>1</xdr:col>
      <xdr:colOff>5246370</xdr:colOff>
      <xdr:row>91</xdr:row>
      <xdr:rowOff>26670</xdr:rowOff>
    </xdr:to>
    <xdr:sp macro="" textlink="">
      <xdr:nvSpPr>
        <xdr:cNvPr id="255" name="Fundo" descr="Fundo">
          <a:extLst>
            <a:ext uri="{FF2B5EF4-FFF2-40B4-BE49-F238E27FC236}">
              <a16:creationId xmlns:a16="http://schemas.microsoft.com/office/drawing/2014/main" id="{59826756-6574-4AD7-87F3-D5BE531411BB}"/>
            </a:ext>
          </a:extLst>
        </xdr:cNvPr>
        <xdr:cNvSpPr/>
      </xdr:nvSpPr>
      <xdr:spPr>
        <a:xfrm>
          <a:off x="361950" y="9848851"/>
          <a:ext cx="5734050" cy="8124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551511</xdr:colOff>
      <xdr:row>52</xdr:row>
      <xdr:rowOff>114300</xdr:rowOff>
    </xdr:from>
    <xdr:to>
      <xdr:col>1</xdr:col>
      <xdr:colOff>4946319</xdr:colOff>
      <xdr:row>52</xdr:row>
      <xdr:rowOff>114300</xdr:rowOff>
    </xdr:to>
    <xdr:cxnSp macro="">
      <xdr:nvCxnSpPr>
        <xdr:cNvPr id="256" name="Linha inferior" descr="Linha decorativa">
          <a:extLst>
            <a:ext uri="{FF2B5EF4-FFF2-40B4-BE49-F238E27FC236}">
              <a16:creationId xmlns:a16="http://schemas.microsoft.com/office/drawing/2014/main" id="{B4FBAF4C-2650-48DA-8BD4-CB9BC3AD86EB}"/>
            </a:ext>
          </a:extLst>
        </xdr:cNvPr>
        <xdr:cNvCxnSpPr>
          <a:cxnSpLocks/>
        </xdr:cNvCxnSpPr>
      </xdr:nvCxnSpPr>
      <xdr:spPr>
        <a:xfrm>
          <a:off x="547701" y="105918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551511</xdr:colOff>
      <xdr:row>49</xdr:row>
      <xdr:rowOff>129540</xdr:rowOff>
    </xdr:from>
    <xdr:to>
      <xdr:col>1</xdr:col>
      <xdr:colOff>4951420</xdr:colOff>
      <xdr:row>52</xdr:row>
      <xdr:rowOff>49597</xdr:rowOff>
    </xdr:to>
    <xdr:sp macro="" textlink="">
      <xdr:nvSpPr>
        <xdr:cNvPr id="257" name="Passo" descr="Funções condicionais – CONTAR.SE&#10;">
          <a:extLst>
            <a:ext uri="{FF2B5EF4-FFF2-40B4-BE49-F238E27FC236}">
              <a16:creationId xmlns:a16="http://schemas.microsoft.com/office/drawing/2014/main" id="{4F5A7CA7-2EE0-4987-96BE-26C1F64A94A4}"/>
            </a:ext>
          </a:extLst>
        </xdr:cNvPr>
        <xdr:cNvSpPr txBox="1"/>
      </xdr:nvSpPr>
      <xdr:spPr>
        <a:xfrm>
          <a:off x="547701" y="1003935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 CONTAR.SE</a:t>
          </a:r>
        </a:p>
      </xdr:txBody>
    </xdr:sp>
    <xdr:clientData/>
  </xdr:twoCellAnchor>
  <xdr:twoCellAnchor editAs="absolute">
    <xdr:from>
      <xdr:col>0</xdr:col>
      <xdr:colOff>551511</xdr:colOff>
      <xdr:row>86</xdr:row>
      <xdr:rowOff>129752</xdr:rowOff>
    </xdr:from>
    <xdr:to>
      <xdr:col>1</xdr:col>
      <xdr:colOff>4946319</xdr:colOff>
      <xdr:row>86</xdr:row>
      <xdr:rowOff>129752</xdr:rowOff>
    </xdr:to>
    <xdr:cxnSp macro="">
      <xdr:nvCxnSpPr>
        <xdr:cNvPr id="258" name="Linha inferior" descr="Linha decorativa">
          <a:extLst>
            <a:ext uri="{FF2B5EF4-FFF2-40B4-BE49-F238E27FC236}">
              <a16:creationId xmlns:a16="http://schemas.microsoft.com/office/drawing/2014/main" id="{C9452A63-9B04-434E-9908-862D1547B71D}"/>
            </a:ext>
          </a:extLst>
        </xdr:cNvPr>
        <xdr:cNvCxnSpPr>
          <a:cxnSpLocks/>
        </xdr:cNvCxnSpPr>
      </xdr:nvCxnSpPr>
      <xdr:spPr>
        <a:xfrm>
          <a:off x="547701" y="171185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560070</xdr:colOff>
      <xdr:row>52</xdr:row>
      <xdr:rowOff>129540</xdr:rowOff>
    </xdr:from>
    <xdr:to>
      <xdr:col>1</xdr:col>
      <xdr:colOff>5011378</xdr:colOff>
      <xdr:row>57</xdr:row>
      <xdr:rowOff>4445</xdr:rowOff>
    </xdr:to>
    <xdr:sp macro="" textlink="">
      <xdr:nvSpPr>
        <xdr:cNvPr id="259" name="Introdução à soma de números" descr="As funções CONTAR.SE e CONTAR.SE.S permitem-lhe contar valores num intervalo com base em critérios que especificar. São um pouco diferentes das funções SE e SE.S, na medida em que só têm um intervalo de critérios e critérios. Não avaliam um intervalo e analisam outro para resumir.&#10;&#10;">
          <a:extLst>
            <a:ext uri="{FF2B5EF4-FFF2-40B4-BE49-F238E27FC236}">
              <a16:creationId xmlns:a16="http://schemas.microsoft.com/office/drawing/2014/main" id="{FD69C356-A3A0-4ACC-9509-4D5AB4574A46}"/>
            </a:ext>
          </a:extLst>
        </xdr:cNvPr>
        <xdr:cNvSpPr txBox="1"/>
      </xdr:nvSpPr>
      <xdr:spPr>
        <a:xfrm>
          <a:off x="561975" y="10610850"/>
          <a:ext cx="5300938"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kern="1200">
              <a:solidFill>
                <a:schemeClr val="tx1">
                  <a:lumMod val="75000"/>
                  <a:lumOff val="25000"/>
                </a:schemeClr>
              </a:solidFill>
              <a:latin typeface="Segoe UI" panose="020B0502040204020203" pitchFamily="34" charset="0"/>
              <a:ea typeface="+mn-ea"/>
              <a:cs typeface="Segoe UI" panose="020B0502040204020203" pitchFamily="34" charset="0"/>
            </a:rPr>
            <a:t>As funções </a:t>
          </a:r>
          <a:r>
            <a:rPr lang="pt-pt" sz="1100" b="1" kern="1200">
              <a:solidFill>
                <a:schemeClr val="tx1">
                  <a:lumMod val="75000"/>
                  <a:lumOff val="25000"/>
                </a:schemeClr>
              </a:solidFill>
              <a:latin typeface="Segoe UI" panose="020B0502040204020203" pitchFamily="34" charset="0"/>
              <a:ea typeface="+mn-ea"/>
              <a:cs typeface="Segoe UI" panose="020B0502040204020203" pitchFamily="34" charset="0"/>
            </a:rPr>
            <a:t>CONTAR.SE</a:t>
          </a:r>
          <a:r>
            <a:rPr lang="pt-pt" sz="1100" b="1"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pt-pt" sz="1100" b="0" kern="1200" baseline="0">
              <a:solidFill>
                <a:schemeClr val="tx1">
                  <a:lumMod val="75000"/>
                  <a:lumOff val="25000"/>
                </a:schemeClr>
              </a:solidFill>
              <a:latin typeface="Segoe UI" panose="020B0502040204020203" pitchFamily="34" charset="0"/>
              <a:ea typeface="+mn-ea"/>
              <a:cs typeface="Segoe UI" panose="020B0502040204020203" pitchFamily="34" charset="0"/>
            </a:rPr>
            <a:t>e</a:t>
          </a:r>
          <a:r>
            <a:rPr lang="pt-p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pt-pt" sz="1100" b="1" kern="1200" baseline="0">
              <a:solidFill>
                <a:schemeClr val="tx1">
                  <a:lumMod val="75000"/>
                  <a:lumOff val="25000"/>
                </a:schemeClr>
              </a:solidFill>
              <a:latin typeface="Segoe UI" panose="020B0502040204020203" pitchFamily="34" charset="0"/>
              <a:ea typeface="+mn-ea"/>
              <a:cs typeface="Segoe UI" panose="020B0502040204020203" pitchFamily="34" charset="0"/>
            </a:rPr>
            <a:t>CONTAR.SE.S </a:t>
          </a:r>
          <a:r>
            <a:rPr lang="pt-p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permitem-lhe contar valores num intervalo com base em critérios que especificar. São </a:t>
          </a:r>
          <a:r>
            <a:rPr lang="pt-pt" sz="1100" kern="1200">
              <a:solidFill>
                <a:schemeClr val="tx1">
                  <a:lumMod val="75000"/>
                  <a:lumOff val="25000"/>
                </a:schemeClr>
              </a:solidFill>
              <a:latin typeface="Segoe UI" panose="020B0502040204020203" pitchFamily="34" charset="0"/>
              <a:ea typeface="+mn-ea"/>
              <a:cs typeface="Segoe UI" panose="020B0502040204020203" pitchFamily="34" charset="0"/>
            </a:rPr>
            <a:t>um pouco diferentes</a:t>
          </a:r>
          <a:r>
            <a:rPr lang="pt-p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das funções SE e SE.S, na medida em que só têm um intervalo de critérios e critérios. Não avaliam um intervalo e analisam outro para resumir.</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57</xdr:row>
      <xdr:rowOff>53340</xdr:rowOff>
    </xdr:from>
    <xdr:to>
      <xdr:col>1</xdr:col>
      <xdr:colOff>4941971</xdr:colOff>
      <xdr:row>60</xdr:row>
      <xdr:rowOff>83762</xdr:rowOff>
    </xdr:to>
    <xdr:grpSp>
      <xdr:nvGrpSpPr>
        <xdr:cNvPr id="7" name="Grupo 6">
          <a:extLst>
            <a:ext uri="{FF2B5EF4-FFF2-40B4-BE49-F238E27FC236}">
              <a16:creationId xmlns:a16="http://schemas.microsoft.com/office/drawing/2014/main" id="{C3BD1A07-2431-425E-86AC-0511A2AC3600}"/>
            </a:ext>
          </a:extLst>
        </xdr:cNvPr>
        <xdr:cNvGrpSpPr/>
      </xdr:nvGrpSpPr>
      <xdr:grpSpPr>
        <a:xfrm>
          <a:off x="571500" y="11287125"/>
          <a:ext cx="5235341" cy="571442"/>
          <a:chOff x="609600" y="10820400"/>
          <a:chExt cx="5220101" cy="596207"/>
        </a:xfrm>
      </xdr:grpSpPr>
      <xdr:sp macro="" textlink="">
        <xdr:nvSpPr>
          <xdr:cNvPr id="261" name="txt_Passo" descr="Selecione a célula D64 e escreva =CONTAR.SE(C50:C61;C64). A função CONTAR.SE tem a seguinte estrutura:&#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D64 e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=CONTAR.SE(C50:C61;C64)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CONTAR.SE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tem a seguinte estrutura:</a:t>
            </a:r>
          </a:p>
        </xdr:txBody>
      </xdr:sp>
      <xdr:sp macro="" textlink="">
        <xdr:nvSpPr>
          <xdr:cNvPr id="262" name="shp_Passo"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87</xdr:row>
      <xdr:rowOff>131656</xdr:rowOff>
    </xdr:from>
    <xdr:to>
      <xdr:col>1</xdr:col>
      <xdr:colOff>4878004</xdr:colOff>
      <xdr:row>89</xdr:row>
      <xdr:rowOff>98730</xdr:rowOff>
    </xdr:to>
    <xdr:sp macro="" textlink="">
      <xdr:nvSpPr>
        <xdr:cNvPr id="263" name="BotãoSeguinte" descr="Avançar para a folha seguinte">
          <a:hlinkClick xmlns:r="http://schemas.openxmlformats.org/officeDocument/2006/relationships" r:id="rId3" tooltip="Clique aqui para avançar para a folha de cálculo seguinte"/>
          <a:extLst>
            <a:ext uri="{FF2B5EF4-FFF2-40B4-BE49-F238E27FC236}">
              <a16:creationId xmlns:a16="http://schemas.microsoft.com/office/drawing/2014/main" id="{D6D142FA-1F43-4673-883C-435BE4A5BB46}"/>
            </a:ext>
          </a:extLst>
        </xdr:cNvPr>
        <xdr:cNvSpPr/>
      </xdr:nvSpPr>
      <xdr:spPr>
        <a:xfrm>
          <a:off x="4581526" y="1731856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0</xdr:col>
      <xdr:colOff>571500</xdr:colOff>
      <xdr:row>69</xdr:row>
      <xdr:rowOff>140970</xdr:rowOff>
    </xdr:from>
    <xdr:to>
      <xdr:col>1</xdr:col>
      <xdr:colOff>4941971</xdr:colOff>
      <xdr:row>72</xdr:row>
      <xdr:rowOff>171392</xdr:rowOff>
    </xdr:to>
    <xdr:grpSp>
      <xdr:nvGrpSpPr>
        <xdr:cNvPr id="6" name="Grupo 5">
          <a:extLst>
            <a:ext uri="{FF2B5EF4-FFF2-40B4-BE49-F238E27FC236}">
              <a16:creationId xmlns:a16="http://schemas.microsoft.com/office/drawing/2014/main" id="{0DA1DA82-7F55-47D3-8AE9-D782CB1AADE4}"/>
            </a:ext>
          </a:extLst>
        </xdr:cNvPr>
        <xdr:cNvGrpSpPr/>
      </xdr:nvGrpSpPr>
      <xdr:grpSpPr>
        <a:xfrm>
          <a:off x="571500" y="13578840"/>
          <a:ext cx="5235341" cy="579062"/>
          <a:chOff x="609600" y="13230225"/>
          <a:chExt cx="5220101" cy="596207"/>
        </a:xfrm>
      </xdr:grpSpPr>
      <xdr:sp macro="" textlink="">
        <xdr:nvSpPr>
          <xdr:cNvPr id="265" name="txt_Passo" descr="A função CONTAR.SE.S é semelhante à função SOMA.SE, mas permite-lhe utilizar múltiplos critérios. Neste exemplo, pode procurar Fruta e Variedade em vez de apenas Fruta. Selecione a célula H64 e escreva =CONTAR.SE.S(F50:F61;F64:G50;G61;G64). A função CONTAR.SE.S tem a seguinte estrutura:&#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CONTAR.SE.S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semelhante à função SOMA.SE, mas permite-lhe utilizar múltiplos critérios. Neste exemplo, pode procurar por Fruta e Variedade em vez de apenas por Fruta. Selecione a célula H64 e escreva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=CONTAR.SE.S(F50:F61;F64;G50:G61;G64)</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CONTAR.SE.S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tem a seguinte estrutura: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Passo"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59</xdr:row>
      <xdr:rowOff>161925</xdr:rowOff>
    </xdr:from>
    <xdr:to>
      <xdr:col>1</xdr:col>
      <xdr:colOff>4229100</xdr:colOff>
      <xdr:row>69</xdr:row>
      <xdr:rowOff>180975</xdr:rowOff>
    </xdr:to>
    <xdr:grpSp>
      <xdr:nvGrpSpPr>
        <xdr:cNvPr id="267" name="Grupo 266">
          <a:extLst>
            <a:ext uri="{FF2B5EF4-FFF2-40B4-BE49-F238E27FC236}">
              <a16:creationId xmlns:a16="http://schemas.microsoft.com/office/drawing/2014/main" id="{E8932D15-E179-42A0-91A2-EDDEA215314C}"/>
            </a:ext>
          </a:extLst>
        </xdr:cNvPr>
        <xdr:cNvGrpSpPr/>
      </xdr:nvGrpSpPr>
      <xdr:grpSpPr>
        <a:xfrm>
          <a:off x="1057275" y="11755755"/>
          <a:ext cx="4038600" cy="1863090"/>
          <a:chOff x="3048000" y="4524375"/>
          <a:chExt cx="4038600" cy="1924050"/>
        </a:xfrm>
      </xdr:grpSpPr>
      <xdr:sp macro="" textlink="">
        <xdr:nvSpPr>
          <xdr:cNvPr id="268" name="txt_Fórmula" descr="=CONTAR.SE(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=CONTAR.SE(C50:C61;C64)</a:t>
            </a:r>
            <a:endParaRPr lang="en-US" sz="2000">
              <a:effectLst/>
              <a:latin typeface="Courier New" panose="02070309020205020404" pitchFamily="49" charset="0"/>
              <a:ea typeface="Times New Roman" panose="02020603050405020304" pitchFamily="18" charset="0"/>
            </a:endParaRPr>
          </a:p>
        </xdr:txBody>
      </xdr:sp>
      <xdr:grpSp>
        <xdr:nvGrpSpPr>
          <xdr:cNvPr id="269" name="Grupo 268">
            <a:extLst>
              <a:ext uri="{FF2B5EF4-FFF2-40B4-BE49-F238E27FC236}">
                <a16:creationId xmlns:a16="http://schemas.microsoft.com/office/drawing/2014/main" id="{37527305-6134-452A-8E72-EC503505A6ED}"/>
              </a:ext>
            </a:extLst>
          </xdr:cNvPr>
          <xdr:cNvGrpSpPr/>
        </xdr:nvGrpSpPr>
        <xdr:grpSpPr>
          <a:xfrm>
            <a:off x="4562475" y="4524375"/>
            <a:ext cx="1352550" cy="861227"/>
            <a:chOff x="4562475" y="4524375"/>
            <a:chExt cx="1352550" cy="861227"/>
          </a:xfrm>
        </xdr:grpSpPr>
        <xdr:sp macro="" textlink="">
          <xdr:nvSpPr>
            <xdr:cNvPr id="273" name="ChavetaDaFórmulaSuperior">
              <a:extLst>
                <a:ext uri="{FF2B5EF4-FFF2-40B4-BE49-F238E27FC236}">
                  <a16:creationId xmlns:a16="http://schemas.microsoft.com/office/drawing/2014/main" id="{36B585B0-0CA8-40C9-B8A4-354751F708F4}"/>
                </a:ext>
              </a:extLst>
            </xdr:cNvPr>
            <xdr:cNvSpPr/>
          </xdr:nvSpPr>
          <xdr:spPr>
            <a:xfrm rot="5400000">
              <a:off x="4989111"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4" name="txt_BalãoDaFórmulaSuperior" descr="Em que intervalo quer procurar?&#10;">
              <a:extLst>
                <a:ext uri="{FF2B5EF4-FFF2-40B4-BE49-F238E27FC236}">
                  <a16:creationId xmlns:a16="http://schemas.microsoft.com/office/drawing/2014/main" id="{34D80480-D101-45AC-B9CF-78D23DC421E6}"/>
                </a:ext>
              </a:extLst>
            </xdr:cNvPr>
            <xdr:cNvSpPr txBox="1">
              <a:spLocks noChangeArrowheads="1"/>
            </xdr:cNvSpPr>
          </xdr:nvSpPr>
          <xdr:spPr bwMode="auto">
            <a:xfrm>
              <a:off x="45624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Em que intervalo quer procurar?</a:t>
              </a:r>
            </a:p>
          </xdr:txBody>
        </xdr:sp>
      </xdr:grpSp>
      <xdr:grpSp>
        <xdr:nvGrpSpPr>
          <xdr:cNvPr id="270" name="Grupo 269">
            <a:extLst>
              <a:ext uri="{FF2B5EF4-FFF2-40B4-BE49-F238E27FC236}">
                <a16:creationId xmlns:a16="http://schemas.microsoft.com/office/drawing/2014/main" id="{2CCDD87F-488A-4F59-94B0-9890040AE4A5}"/>
              </a:ext>
            </a:extLst>
          </xdr:cNvPr>
          <xdr:cNvGrpSpPr/>
        </xdr:nvGrpSpPr>
        <xdr:grpSpPr>
          <a:xfrm>
            <a:off x="5248275" y="5610223"/>
            <a:ext cx="1838325" cy="838202"/>
            <a:chOff x="5248275" y="5610223"/>
            <a:chExt cx="1838325" cy="838202"/>
          </a:xfrm>
        </xdr:grpSpPr>
        <xdr:sp macro="" textlink="">
          <xdr:nvSpPr>
            <xdr:cNvPr id="271" name="ChavetaDaFórmulaInferior">
              <a:extLst>
                <a:ext uri="{FF2B5EF4-FFF2-40B4-BE49-F238E27FC236}">
                  <a16:creationId xmlns:a16="http://schemas.microsoft.com/office/drawing/2014/main" id="{A61DA540-4BFA-41A7-A504-CCFAB774EC94}"/>
                </a:ext>
              </a:extLst>
            </xdr:cNvPr>
            <xdr:cNvSpPr/>
          </xdr:nvSpPr>
          <xdr:spPr>
            <a:xfrm rot="16200000">
              <a:off x="5913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2" name="txt_BalãoDaFórmulaInferior" descr="Que valor (texto ou número) quer procurar?&#10;">
              <a:extLst>
                <a:ext uri="{FF2B5EF4-FFF2-40B4-BE49-F238E27FC236}">
                  <a16:creationId xmlns:a16="http://schemas.microsoft.com/office/drawing/2014/main" id="{73BBFD57-E525-4CF9-A6E9-242691515557}"/>
                </a:ext>
              </a:extLst>
            </xdr:cNvPr>
            <xdr:cNvSpPr txBox="1">
              <a:spLocks noChangeArrowheads="1"/>
            </xdr:cNvSpPr>
          </xdr:nvSpPr>
          <xdr:spPr bwMode="auto">
            <a:xfrm>
              <a:off x="5248275"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Que valor (texto ou número) quer procurar?</a:t>
              </a:r>
            </a:p>
          </xdr:txBody>
        </xdr:sp>
      </xdr:grpSp>
    </xdr:grpSp>
    <xdr:clientData/>
  </xdr:twoCellAnchor>
  <xdr:twoCellAnchor>
    <xdr:from>
      <xdr:col>0</xdr:col>
      <xdr:colOff>619125</xdr:colOff>
      <xdr:row>75</xdr:row>
      <xdr:rowOff>104757</xdr:rowOff>
    </xdr:from>
    <xdr:to>
      <xdr:col>1</xdr:col>
      <xdr:colOff>5094857</xdr:colOff>
      <xdr:row>85</xdr:row>
      <xdr:rowOff>135419</xdr:rowOff>
    </xdr:to>
    <xdr:grpSp>
      <xdr:nvGrpSpPr>
        <xdr:cNvPr id="275" name="Grupo 274">
          <a:extLst>
            <a:ext uri="{FF2B5EF4-FFF2-40B4-BE49-F238E27FC236}">
              <a16:creationId xmlns:a16="http://schemas.microsoft.com/office/drawing/2014/main" id="{847274C0-AC26-4344-B2CE-53D60DDD0425}"/>
            </a:ext>
          </a:extLst>
        </xdr:cNvPr>
        <xdr:cNvGrpSpPr/>
      </xdr:nvGrpSpPr>
      <xdr:grpSpPr>
        <a:xfrm>
          <a:off x="621030" y="14628477"/>
          <a:ext cx="5338697" cy="1838507"/>
          <a:chOff x="638175" y="14144607"/>
          <a:chExt cx="5295280" cy="1964237"/>
        </a:xfrm>
      </xdr:grpSpPr>
      <xdr:sp macro="" textlink="">
        <xdr:nvSpPr>
          <xdr:cNvPr id="276" name="ChavetaDaFórmulaInferior">
            <a:extLst>
              <a:ext uri="{FF2B5EF4-FFF2-40B4-BE49-F238E27FC236}">
                <a16:creationId xmlns:a16="http://schemas.microsoft.com/office/drawing/2014/main" id="{97A01290-7C21-4B89-985F-9ACD27071CF1}"/>
              </a:ext>
            </a:extLst>
          </xdr:cNvPr>
          <xdr:cNvSpPr/>
        </xdr:nvSpPr>
        <xdr:spPr>
          <a:xfrm rot="16200000">
            <a:off x="5224264" y="15284209"/>
            <a:ext cx="495146" cy="4011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7" name="ChavetaDaFórmulaInferior">
            <a:extLst>
              <a:ext uri="{FF2B5EF4-FFF2-40B4-BE49-F238E27FC236}">
                <a16:creationId xmlns:a16="http://schemas.microsoft.com/office/drawing/2014/main" id="{FBA8E8F9-1C1F-46A9-819E-ED4261288C76}"/>
              </a:ext>
            </a:extLst>
          </xdr:cNvPr>
          <xdr:cNvSpPr/>
        </xdr:nvSpPr>
        <xdr:spPr>
          <a:xfrm rot="16200000">
            <a:off x="3540609" y="15271914"/>
            <a:ext cx="495146" cy="4257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8" name="ChavetaDaFórmulaSuperior">
            <a:extLst>
              <a:ext uri="{FF2B5EF4-FFF2-40B4-BE49-F238E27FC236}">
                <a16:creationId xmlns:a16="http://schemas.microsoft.com/office/drawing/2014/main" id="{44603805-5C4E-4370-B762-A5B53406A8B3}"/>
              </a:ext>
            </a:extLst>
          </xdr:cNvPr>
          <xdr:cNvSpPr/>
        </xdr:nvSpPr>
        <xdr:spPr>
          <a:xfrm rot="5400000">
            <a:off x="4366034" y="14270313"/>
            <a:ext cx="495146" cy="99315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9" name="ChavetaDaFórmulaSuperior">
            <a:extLst>
              <a:ext uri="{FF2B5EF4-FFF2-40B4-BE49-F238E27FC236}">
                <a16:creationId xmlns:a16="http://schemas.microsoft.com/office/drawing/2014/main" id="{02E6B0A4-8693-43A2-A27C-ECA0F01F93E4}"/>
              </a:ext>
            </a:extLst>
          </xdr:cNvPr>
          <xdr:cNvSpPr/>
        </xdr:nvSpPr>
        <xdr:spPr>
          <a:xfrm rot="5400000">
            <a:off x="2678038" y="14278265"/>
            <a:ext cx="495146" cy="97723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0" name="txt_Fórmula" descr="=CONTAR.SE.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1900" spc="-30" baseline="0">
                <a:solidFill>
                  <a:srgbClr val="000000"/>
                </a:solidFill>
                <a:effectLst/>
                <a:latin typeface="Courier New" panose="02070309020205020404" pitchFamily="49" charset="0"/>
                <a:ea typeface="Times New Roman" panose="02020603050405020304" pitchFamily="18" charset="0"/>
              </a:rPr>
              <a:t>=CONTAR.SE.S(F50:F61;F64;G50:G61;G64)</a:t>
            </a:r>
            <a:endParaRPr lang="en-US" sz="1900" spc="-30" baseline="0">
              <a:effectLst/>
              <a:latin typeface="Courier New" panose="02070309020205020404" pitchFamily="49" charset="0"/>
              <a:ea typeface="Times New Roman" panose="02020603050405020304" pitchFamily="18" charset="0"/>
            </a:endParaRPr>
          </a:p>
        </xdr:txBody>
      </xdr:sp>
      <xdr:sp macro="" textlink="">
        <xdr:nvSpPr>
          <xdr:cNvPr id="281" name="txt_BalãoDaFórmulaSuperior" descr="Este é o primeiro intervalo a contar&#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304215" y="14144607"/>
            <a:ext cx="1252134"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 é o primeiro intervalo a contar</a:t>
            </a:r>
          </a:p>
        </xdr:txBody>
      </xdr:sp>
      <xdr:sp macro="" textlink="">
        <xdr:nvSpPr>
          <xdr:cNvPr id="282" name="txt_BalãoDaFórmulaSuperior" descr="Este é o segundo intervalo a contar&#10;">
            <a:extLst>
              <a:ext uri="{FF2B5EF4-FFF2-40B4-BE49-F238E27FC236}">
                <a16:creationId xmlns:a16="http://schemas.microsoft.com/office/drawing/2014/main" id="{11EE695F-0D8C-4F27-9607-875A146520A9}"/>
              </a:ext>
            </a:extLst>
          </xdr:cNvPr>
          <xdr:cNvSpPr txBox="1">
            <a:spLocks noChangeArrowheads="1"/>
          </xdr:cNvSpPr>
        </xdr:nvSpPr>
        <xdr:spPr bwMode="auto">
          <a:xfrm>
            <a:off x="4019775"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pt" sz="1100">
                <a:effectLst/>
                <a:latin typeface="Calibri" panose="020F0502020204030204" pitchFamily="34" charset="0"/>
                <a:ea typeface="+mn-ea"/>
                <a:cs typeface="+mn-cs"/>
              </a:rPr>
              <a:t>Este é o segundo intervalo a contar</a:t>
            </a:r>
            <a:endParaRPr lang="en-US">
              <a:effectLst/>
              <a:latin typeface="Calibri" panose="020F0502020204030204" pitchFamily="34" charset="0"/>
            </a:endParaRPr>
          </a:p>
        </xdr:txBody>
      </xdr:sp>
      <xdr:sp macro="" textlink="">
        <xdr:nvSpPr>
          <xdr:cNvPr id="283" name="txt_BalãoDaFórmulaInferior" descr="Estes são os critérios para a primeira correspondência&#10;&#10;">
            <a:extLst>
              <a:ext uri="{FF2B5EF4-FFF2-40B4-BE49-F238E27FC236}">
                <a16:creationId xmlns:a16="http://schemas.microsoft.com/office/drawing/2014/main" id="{CA955A6F-F900-4254-A38C-2B84B32EF341}"/>
              </a:ext>
            </a:extLst>
          </xdr:cNvPr>
          <xdr:cNvSpPr txBox="1">
            <a:spLocks noChangeArrowheads="1"/>
          </xdr:cNvSpPr>
        </xdr:nvSpPr>
        <xdr:spPr bwMode="auto">
          <a:xfrm>
            <a:off x="2362550" y="15615070"/>
            <a:ext cx="1764563"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pt" sz="1100">
                <a:effectLst/>
                <a:latin typeface="Calibri" panose="020F0502020204030204" pitchFamily="34" charset="0"/>
                <a:ea typeface="+mn-ea"/>
                <a:cs typeface="+mn-cs"/>
              </a:rPr>
              <a:t>Estes são os critérios para a primeira correspondência</a:t>
            </a:r>
            <a:endParaRPr lang="en-US">
              <a:effectLst/>
              <a:latin typeface="Calibri" panose="020F0502020204030204" pitchFamily="34" charset="0"/>
            </a:endParaRPr>
          </a:p>
        </xdr:txBody>
      </xdr:sp>
      <xdr:sp macro="" textlink="">
        <xdr:nvSpPr>
          <xdr:cNvPr id="284" name="txt_BalãoDaFórmulaInferior" descr="Estes são os critérios da segunda correspondência&#10;">
            <a:extLst>
              <a:ext uri="{FF2B5EF4-FFF2-40B4-BE49-F238E27FC236}">
                <a16:creationId xmlns:a16="http://schemas.microsoft.com/office/drawing/2014/main" id="{838EB08C-21C3-4C95-9A03-F7C12DFF31CD}"/>
              </a:ext>
            </a:extLst>
          </xdr:cNvPr>
          <xdr:cNvSpPr txBox="1">
            <a:spLocks noChangeArrowheads="1"/>
          </xdr:cNvSpPr>
        </xdr:nvSpPr>
        <xdr:spPr bwMode="auto">
          <a:xfrm>
            <a:off x="4276419" y="15615070"/>
            <a:ext cx="165703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Estes são os critérios</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da segunda correspondência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87</xdr:row>
      <xdr:rowOff>95250</xdr:rowOff>
    </xdr:from>
    <xdr:to>
      <xdr:col>1</xdr:col>
      <xdr:colOff>2446842</xdr:colOff>
      <xdr:row>90</xdr:row>
      <xdr:rowOff>54674</xdr:rowOff>
    </xdr:to>
    <xdr:sp macro="" textlink="">
      <xdr:nvSpPr>
        <xdr:cNvPr id="285" name="Botão para ver mais detalhes" descr="Desça para ver mais detalhes">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7278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twoCellAnchor>
    <xdr:from>
      <xdr:col>0</xdr:col>
      <xdr:colOff>619125</xdr:colOff>
      <xdr:row>112</xdr:row>
      <xdr:rowOff>104775</xdr:rowOff>
    </xdr:from>
    <xdr:to>
      <xdr:col>1</xdr:col>
      <xdr:colOff>2494467</xdr:colOff>
      <xdr:row>115</xdr:row>
      <xdr:rowOff>64199</xdr:rowOff>
    </xdr:to>
    <xdr:sp macro="" textlink="">
      <xdr:nvSpPr>
        <xdr:cNvPr id="131" name="Botão para ver mais detalhes" descr="Desça para ver mais detalhes">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20503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xdr:col>
      <xdr:colOff>582930</xdr:colOff>
      <xdr:row>10</xdr:row>
      <xdr:rowOff>11430</xdr:rowOff>
    </xdr:from>
    <xdr:to>
      <xdr:col>6</xdr:col>
      <xdr:colOff>87630</xdr:colOff>
      <xdr:row>19</xdr:row>
      <xdr:rowOff>2128</xdr:rowOff>
    </xdr:to>
    <xdr:grpSp>
      <xdr:nvGrpSpPr>
        <xdr:cNvPr id="76" name="INTERESSANTE" descr="INTERESSANTE&#10;&#10;">
          <a:extLst>
            <a:ext uri="{FF2B5EF4-FFF2-40B4-BE49-F238E27FC236}">
              <a16:creationId xmlns:a16="http://schemas.microsoft.com/office/drawing/2014/main" id="{16122225-CAAD-44E9-BB30-7B1C9C3D2195}"/>
            </a:ext>
          </a:extLst>
        </xdr:cNvPr>
        <xdr:cNvGrpSpPr/>
      </xdr:nvGrpSpPr>
      <xdr:grpSpPr>
        <a:xfrm>
          <a:off x="7168515" y="2482215"/>
          <a:ext cx="2514600" cy="1625188"/>
          <a:chOff x="7830674" y="7686975"/>
          <a:chExt cx="2476379" cy="1716628"/>
        </a:xfrm>
      </xdr:grpSpPr>
      <xdr:grpSp>
        <xdr:nvGrpSpPr>
          <xdr:cNvPr id="77" name="Linhas de chaveta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Outra linha de chavetas" descr="Linha de chavetas">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81" name="Linha de chavetas" descr="Linha de chavetas&#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78" name="Estrelas" descr="Estrela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çõe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Deverá ter a fórmula </a:t>
            </a:r>
            <a:r>
              <a:rPr lang="pt-pt" sz="1100" b="1" kern="0">
                <a:solidFill>
                  <a:schemeClr val="bg2">
                    <a:lumMod val="25000"/>
                  </a:schemeClr>
                </a:solidFill>
                <a:latin typeface="+mn-lt"/>
                <a:ea typeface="Segoe UI" pitchFamily="34" charset="0"/>
                <a:cs typeface="Segoe UI Light" panose="020B0502040204020203" pitchFamily="34" charset="0"/>
              </a:rPr>
              <a:t>=PROCV(C10;C5:D8;2;FALSO)</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48</xdr:row>
      <xdr:rowOff>161925</xdr:rowOff>
    </xdr:to>
    <xdr:grpSp>
      <xdr:nvGrpSpPr>
        <xdr:cNvPr id="82" name="Grupo 81">
          <a:extLst>
            <a:ext uri="{FF2B5EF4-FFF2-40B4-BE49-F238E27FC236}">
              <a16:creationId xmlns:a16="http://schemas.microsoft.com/office/drawing/2014/main" id="{1015345F-A070-4EDE-8224-DC487667438E}"/>
            </a:ext>
          </a:extLst>
        </xdr:cNvPr>
        <xdr:cNvGrpSpPr/>
      </xdr:nvGrpSpPr>
      <xdr:grpSpPr>
        <a:xfrm>
          <a:off x="354330" y="6983730"/>
          <a:ext cx="5759958" cy="2533650"/>
          <a:chOff x="352425" y="10715625"/>
          <a:chExt cx="5733288" cy="2390775"/>
        </a:xfrm>
      </xdr:grpSpPr>
      <xdr:sp macro="" textlink="">
        <xdr:nvSpPr>
          <xdr:cNvPr id="83" name="Retângulo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4" name="Passo" descr="Mais informações na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Conexão Reta 84" descr="Linha decorativa">
            <a:extLst>
              <a:ext uri="{FF2B5EF4-FFF2-40B4-BE49-F238E27FC236}">
                <a16:creationId xmlns:a16="http://schemas.microsoft.com/office/drawing/2014/main" id="{123ED04E-B6E8-457B-8D55-39D8FD68B6AD}"/>
              </a:ext>
            </a:extLst>
          </xdr:cNvPr>
          <xdr:cNvCxnSpPr>
            <a:cxnSpLocks/>
          </xdr:cNvCxnSpPr>
        </xdr:nvCxnSpPr>
        <xdr:spPr>
          <a:xfrm>
            <a:off x="563457" y="11291551"/>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Conexão Reta 85" descr="Linha decorativa">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38</xdr:row>
      <xdr:rowOff>168994</xdr:rowOff>
    </xdr:from>
    <xdr:to>
      <xdr:col>1</xdr:col>
      <xdr:colOff>3457575</xdr:colOff>
      <xdr:row>40</xdr:row>
      <xdr:rowOff>147073</xdr:rowOff>
    </xdr:to>
    <xdr:grpSp>
      <xdr:nvGrpSpPr>
        <xdr:cNvPr id="5" name="Grupo 4">
          <a:extLst>
            <a:ext uri="{FF2B5EF4-FFF2-40B4-BE49-F238E27FC236}">
              <a16:creationId xmlns:a16="http://schemas.microsoft.com/office/drawing/2014/main" id="{82632918-520D-4E51-9E28-E3DEB82D9A91}"/>
            </a:ext>
          </a:extLst>
        </xdr:cNvPr>
        <xdr:cNvGrpSpPr/>
      </xdr:nvGrpSpPr>
      <xdr:grpSpPr>
        <a:xfrm>
          <a:off x="560501" y="7716604"/>
          <a:ext cx="3790519" cy="334314"/>
          <a:chOff x="562406" y="11008444"/>
          <a:chExt cx="3761944" cy="359079"/>
        </a:xfrm>
      </xdr:grpSpPr>
      <xdr:sp macro="" textlink="">
        <xdr:nvSpPr>
          <xdr:cNvPr id="87" name="Passo" descr="Tudo sobre a função SE, com hiperligação para a Web&#10;&#10;">
            <a:hlinkClick xmlns:r="http://schemas.openxmlformats.org/officeDocument/2006/relationships" r:id="rId3" tooltip="Selecione para aceder à Web e saber tudo sobre as fórmulas no Excel"/>
            <a:extLst>
              <a:ext uri="{FF2B5EF4-FFF2-40B4-BE49-F238E27FC236}">
                <a16:creationId xmlns:a16="http://schemas.microsoft.com/office/drawing/2014/main" id="{41455299-D7B6-412C-80EB-393F42F3AB5B}"/>
              </a:ext>
            </a:extLst>
          </xdr:cNvPr>
          <xdr:cNvSpPr txBox="1"/>
        </xdr:nvSpPr>
        <xdr:spPr>
          <a:xfrm>
            <a:off x="1027591" y="11082804"/>
            <a:ext cx="329675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Descrição geral</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de fórmulas no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áfico 22" descr="Seta">
            <a:hlinkClick xmlns:r="http://schemas.openxmlformats.org/officeDocument/2006/relationships" r:id="rId3" tooltip="Selecione para obter mais informações na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40</xdr:row>
      <xdr:rowOff>163060</xdr:rowOff>
    </xdr:from>
    <xdr:to>
      <xdr:col>1</xdr:col>
      <xdr:colOff>2590800</xdr:colOff>
      <xdr:row>42</xdr:row>
      <xdr:rowOff>146449</xdr:rowOff>
    </xdr:to>
    <xdr:grpSp>
      <xdr:nvGrpSpPr>
        <xdr:cNvPr id="4" name="Grupo 3">
          <a:extLst>
            <a:ext uri="{FF2B5EF4-FFF2-40B4-BE49-F238E27FC236}">
              <a16:creationId xmlns:a16="http://schemas.microsoft.com/office/drawing/2014/main" id="{98FAF5DD-EE61-45C8-981A-2D0D0E97F1D8}"/>
            </a:ext>
          </a:extLst>
        </xdr:cNvPr>
        <xdr:cNvGrpSpPr/>
      </xdr:nvGrpSpPr>
      <xdr:grpSpPr>
        <a:xfrm>
          <a:off x="560501" y="8070715"/>
          <a:ext cx="2925649" cy="341529"/>
          <a:chOff x="562406" y="11383510"/>
          <a:chExt cx="2895169" cy="364389"/>
        </a:xfrm>
      </xdr:grpSpPr>
      <xdr:sp macro="" textlink="">
        <xdr:nvSpPr>
          <xdr:cNvPr id="89" name="Passo" descr="Tudo sobre a função SE.S, com hiperligação para a Web&#10;">
            <a:hlinkClick xmlns:r="http://schemas.openxmlformats.org/officeDocument/2006/relationships" r:id="rId6" tooltip="Selecione para aceder à Web e ver todas as funções do Excel por categoria"/>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categoria)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45</xdr:row>
      <xdr:rowOff>3478</xdr:rowOff>
    </xdr:from>
    <xdr:to>
      <xdr:col>1</xdr:col>
      <xdr:colOff>3952875</xdr:colOff>
      <xdr:row>46</xdr:row>
      <xdr:rowOff>177367</xdr:rowOff>
    </xdr:to>
    <xdr:grpSp>
      <xdr:nvGrpSpPr>
        <xdr:cNvPr id="2" name="Grupo 1">
          <a:extLst>
            <a:ext uri="{FF2B5EF4-FFF2-40B4-BE49-F238E27FC236}">
              <a16:creationId xmlns:a16="http://schemas.microsoft.com/office/drawing/2014/main" id="{2F82E782-5C9A-405F-90E2-13AE28FFFCBD}"/>
            </a:ext>
          </a:extLst>
        </xdr:cNvPr>
        <xdr:cNvGrpSpPr/>
      </xdr:nvGrpSpPr>
      <xdr:grpSpPr>
        <a:xfrm>
          <a:off x="560501" y="8814103"/>
          <a:ext cx="4285819" cy="351054"/>
          <a:chOff x="562406" y="12176428"/>
          <a:chExt cx="4257244" cy="364389"/>
        </a:xfrm>
      </xdr:grpSpPr>
      <xdr:sp macro="" textlink="">
        <xdr:nvSpPr>
          <xdr:cNvPr id="91" name="Passo" descr="Formação online gratuita do Excel, com hiperligação para a Web&#10;">
            <a:hlinkClick xmlns:r="http://schemas.openxmlformats.org/officeDocument/2006/relationships" r:id="rId7" tooltip="Selecione para aceder à Web e saber tudo sobre a formação online gratuita do Excel"/>
            <a:extLst>
              <a:ext uri="{FF2B5EF4-FFF2-40B4-BE49-F238E27FC236}">
                <a16:creationId xmlns:a16="http://schemas.microsoft.com/office/drawing/2014/main" id="{19A3D044-BB8D-41AF-8364-CFED7743E9E8}"/>
              </a:ext>
            </a:extLst>
          </xdr:cNvPr>
          <xdr:cNvSpPr txBox="1"/>
        </xdr:nvSpPr>
        <xdr:spPr>
          <a:xfrm>
            <a:off x="1040199" y="12227532"/>
            <a:ext cx="377945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92"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42</xdr:row>
      <xdr:rowOff>162436</xdr:rowOff>
    </xdr:from>
    <xdr:to>
      <xdr:col>1</xdr:col>
      <xdr:colOff>4391024</xdr:colOff>
      <xdr:row>44</xdr:row>
      <xdr:rowOff>145825</xdr:rowOff>
    </xdr:to>
    <xdr:grpSp>
      <xdr:nvGrpSpPr>
        <xdr:cNvPr id="3" name="Grupo 2">
          <a:extLst>
            <a:ext uri="{FF2B5EF4-FFF2-40B4-BE49-F238E27FC236}">
              <a16:creationId xmlns:a16="http://schemas.microsoft.com/office/drawing/2014/main" id="{F4AC7FE3-2FB4-4A3F-8F6D-E41D0BF24478}"/>
            </a:ext>
          </a:extLst>
        </xdr:cNvPr>
        <xdr:cNvGrpSpPr/>
      </xdr:nvGrpSpPr>
      <xdr:grpSpPr>
        <a:xfrm>
          <a:off x="560501" y="8432041"/>
          <a:ext cx="4727778" cy="341529"/>
          <a:chOff x="562406" y="11763886"/>
          <a:chExt cx="4695393" cy="364389"/>
        </a:xfrm>
      </xdr:grpSpPr>
      <xdr:sp macro="" textlink="">
        <xdr:nvSpPr>
          <xdr:cNvPr id="93" name="Passo" descr="Instruções SE avançadas, com hiperligação para a Web&#10;">
            <a:hlinkClick xmlns:r="http://schemas.openxmlformats.org/officeDocument/2006/relationships" r:id="rId8" tooltip="Selecione para aceder à Web e ver todas as funções do Excel por ordem alfabética"/>
            <a:extLst>
              <a:ext uri="{FF2B5EF4-FFF2-40B4-BE49-F238E27FC236}">
                <a16:creationId xmlns:a16="http://schemas.microsoft.com/office/drawing/2014/main" id="{0C9EBEA8-904F-4B13-9D34-42D4C435F750}"/>
              </a:ext>
            </a:extLst>
          </xdr:cNvPr>
          <xdr:cNvSpPr txBox="1"/>
        </xdr:nvSpPr>
        <xdr:spPr>
          <a:xfrm>
            <a:off x="1027590" y="11832161"/>
            <a:ext cx="42302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 ordem alfabética)</a:t>
            </a:r>
          </a:p>
        </xdr:txBody>
      </xdr:sp>
      <xdr:pic>
        <xdr:nvPicPr>
          <xdr:cNvPr id="94"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FundoDaApresentação" descr="Fundo">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CabeçalhoDaApresentação" descr="Utilizar o Assistente de Funções">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Utilizar o Assistente de Funções</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Linha1DaApresentação" descr="Linha decorativa">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Linha2DaApresentação" descr="Linha decorativa">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IntroduçãoDaApresentação" descr="Se souber o nome da função que pretende, mas não tiver a certeza de como a criar, pode utilizar o Assistente de Funções como ajuda.">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Se sabe o nome da função que pretende, mas não tem a certeza de como a criar, pode utilizar o Assistente de Funções como apoio.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57141</xdr:rowOff>
    </xdr:from>
    <xdr:to>
      <xdr:col>1</xdr:col>
      <xdr:colOff>4943475</xdr:colOff>
      <xdr:row>10</xdr:row>
      <xdr:rowOff>19052</xdr:rowOff>
    </xdr:to>
    <xdr:grpSp>
      <xdr:nvGrpSpPr>
        <xdr:cNvPr id="67" name="grp_Passo">
          <a:extLst>
            <a:ext uri="{FF2B5EF4-FFF2-40B4-BE49-F238E27FC236}">
              <a16:creationId xmlns:a16="http://schemas.microsoft.com/office/drawing/2014/main" id="{BD77C92C-5C36-46AE-A637-B10B8A476780}"/>
            </a:ext>
          </a:extLst>
        </xdr:cNvPr>
        <xdr:cNvGrpSpPr/>
      </xdr:nvGrpSpPr>
      <xdr:grpSpPr>
        <a:xfrm>
          <a:off x="578167" y="1575426"/>
          <a:ext cx="5258753" cy="906791"/>
          <a:chOff x="647700" y="7419975"/>
          <a:chExt cx="5326256" cy="893480"/>
        </a:xfrm>
      </xdr:grpSpPr>
      <xdr:sp macro="" textlink="">
        <xdr:nvSpPr>
          <xdr:cNvPr id="68" name="txt_Passo" descr="Selecione a célula D16 e, em seguida, aceda a Fórmulas &gt; Inserir Função &gt; escreva PROCV na caixa Procurar uma função e clique em Ir. Quando vir a função PROCV realçada, clique em OK na parte inferior. Ao selecionar uma função na lista, o Excel apresenta a respetiva sintaxe.&#10;">
            <a:extLst>
              <a:ext uri="{FF2B5EF4-FFF2-40B4-BE49-F238E27FC236}">
                <a16:creationId xmlns:a16="http://schemas.microsoft.com/office/drawing/2014/main" id="{0532D680-62D3-49C1-A9FC-9F775854E3A9}"/>
              </a:ext>
            </a:extLst>
          </xdr:cNvPr>
          <xdr:cNvSpPr txBox="1"/>
        </xdr:nvSpPr>
        <xdr:spPr>
          <a:xfrm>
            <a:off x="1079356" y="7459922"/>
            <a:ext cx="4894600" cy="8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Selecione a célula D10 e, em seguida, aceda a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Fórmulas</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Inserir Função</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escreva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caixa</a:t>
            </a:r>
            <a:r>
              <a:rPr lang="pt-pt" sz="1100" b="0"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Procurar uma função </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e clique em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Ir</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Quando vir a função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realçada, clique em </a:t>
            </a:r>
            <a:r>
              <a:rPr lang="pt-p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OK</a:t>
            </a:r>
            <a:r>
              <a:rPr lang="pt-p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parte inferior.</a:t>
            </a:r>
            <a:r>
              <a:rPr lang="pt-pt" sz="1100">
                <a:solidFill>
                  <a:schemeClr val="tx1">
                    <a:lumMod val="75000"/>
                    <a:lumOff val="25000"/>
                  </a:schemeClr>
                </a:solidFill>
                <a:latin typeface="Segoe UI" panose="020B0502040204020203" pitchFamily="34" charset="0"/>
                <a:cs typeface="Segoe UI" panose="020B0502040204020203" pitchFamily="34" charset="0"/>
              </a:rPr>
              <a:t> Ao selecionar uma função na</a:t>
            </a:r>
            <a:r>
              <a:rPr lang="pt-pt" sz="1100" baseline="0">
                <a:solidFill>
                  <a:schemeClr val="tx1">
                    <a:lumMod val="75000"/>
                    <a:lumOff val="25000"/>
                  </a:schemeClr>
                </a:solidFill>
                <a:latin typeface="Segoe UI" panose="020B0502040204020203" pitchFamily="34" charset="0"/>
                <a:cs typeface="Segoe UI" panose="020B0502040204020203" pitchFamily="34" charset="0"/>
              </a:rPr>
              <a:t> lista, o Excel apresenta a respetiva sintaxe.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Passo"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80962</xdr:rowOff>
    </xdr:from>
    <xdr:to>
      <xdr:col>1</xdr:col>
      <xdr:colOff>4905374</xdr:colOff>
      <xdr:row>15</xdr:row>
      <xdr:rowOff>9523</xdr:rowOff>
    </xdr:to>
    <xdr:grpSp>
      <xdr:nvGrpSpPr>
        <xdr:cNvPr id="71" name="grp_Passo">
          <a:extLst>
            <a:ext uri="{FF2B5EF4-FFF2-40B4-BE49-F238E27FC236}">
              <a16:creationId xmlns:a16="http://schemas.microsoft.com/office/drawing/2014/main" id="{BF405A0F-7FA6-4E62-A4D2-D48FD5B37F21}"/>
            </a:ext>
          </a:extLst>
        </xdr:cNvPr>
        <xdr:cNvGrpSpPr/>
      </xdr:nvGrpSpPr>
      <xdr:grpSpPr>
        <a:xfrm>
          <a:off x="578167" y="2549842"/>
          <a:ext cx="5220652" cy="842961"/>
          <a:chOff x="609600" y="7810500"/>
          <a:chExt cx="5186234" cy="876582"/>
        </a:xfrm>
      </xdr:grpSpPr>
      <xdr:sp macro="" textlink="">
        <xdr:nvSpPr>
          <xdr:cNvPr id="72" name="txt_Passo"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834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introduza os argumentos de função nas respetivas caixas de texto. À medida que introduz cada uma, o Excel avalia-a e mostra o resultado, como o resultado final na parte inferior.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quando terminar e o Excel irá introduzir a fórmula automaticamente.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Passo"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560069</xdr:colOff>
      <xdr:row>31</xdr:row>
      <xdr:rowOff>132399</xdr:rowOff>
    </xdr:from>
    <xdr:to>
      <xdr:col>1</xdr:col>
      <xdr:colOff>974179</xdr:colOff>
      <xdr:row>33</xdr:row>
      <xdr:rowOff>84943</xdr:rowOff>
    </xdr:to>
    <xdr:sp macro="" textlink="">
      <xdr:nvSpPr>
        <xdr:cNvPr id="74" name="BotãoAnterior" descr="Regressar à folha anterior">
          <a:hlinkClick xmlns:r="http://schemas.openxmlformats.org/officeDocument/2006/relationships" r:id="rId9" tooltip="Clique aqui para voltar à folha anterior"/>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3644630</xdr:colOff>
      <xdr:row>31</xdr:row>
      <xdr:rowOff>132399</xdr:rowOff>
    </xdr:from>
    <xdr:to>
      <xdr:col>1</xdr:col>
      <xdr:colOff>4923610</xdr:colOff>
      <xdr:row>33</xdr:row>
      <xdr:rowOff>84943</xdr:rowOff>
    </xdr:to>
    <xdr:sp macro="" textlink="">
      <xdr:nvSpPr>
        <xdr:cNvPr id="75" name="BotãoSeguinte" descr="Avançar para a folha seguinte">
          <a:hlinkClick xmlns:r="http://schemas.openxmlformats.org/officeDocument/2006/relationships" r:id="rId10" tooltip="Clique aqui para avançar para a folha seguinte"/>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oneCell">
    <xdr:from>
      <xdr:col>1</xdr:col>
      <xdr:colOff>240369</xdr:colOff>
      <xdr:row>15</xdr:row>
      <xdr:rowOff>114300</xdr:rowOff>
    </xdr:from>
    <xdr:to>
      <xdr:col>1</xdr:col>
      <xdr:colOff>4847885</xdr:colOff>
      <xdr:row>29</xdr:row>
      <xdr:rowOff>16983</xdr:rowOff>
    </xdr:to>
    <xdr:pic>
      <xdr:nvPicPr>
        <xdr:cNvPr id="7" name="Imagem 6">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107144" y="3571875"/>
          <a:ext cx="4605611"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upo 7">
          <a:extLst>
            <a:ext uri="{FF2B5EF4-FFF2-40B4-BE49-F238E27FC236}">
              <a16:creationId xmlns:a16="http://schemas.microsoft.com/office/drawing/2014/main" id="{8F43BB86-459B-4A39-BF41-D15966065CB8}"/>
            </a:ext>
          </a:extLst>
        </xdr:cNvPr>
        <xdr:cNvGrpSpPr/>
      </xdr:nvGrpSpPr>
      <xdr:grpSpPr>
        <a:xfrm>
          <a:off x="2435904" y="3626824"/>
          <a:ext cx="7727271" cy="3539343"/>
          <a:chOff x="2411139" y="6952954"/>
          <a:chExt cx="7523436" cy="3716508"/>
        </a:xfrm>
      </xdr:grpSpPr>
      <xdr:grpSp>
        <xdr:nvGrpSpPr>
          <xdr:cNvPr id="96" name="Grupo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INFORMAÇÕES ÚTEIS" descr="INFORMAÇÕES ÚTEIS&#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áfico 147" descr="Óculo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Passo"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Pode escrever referências de células e de intervalos ou selecioná-los com o rato.</a:t>
                </a:r>
                <a:endParaRPr lang="en-US" sz="1100">
                  <a:effectLst/>
                  <a:latin typeface="+mn-lt"/>
                </a:endParaRPr>
              </a:p>
            </xdr:txBody>
          </xdr:sp>
        </xdr:grpSp>
        <xdr:cxnSp macro="">
          <xdr:nvCxnSpPr>
            <xdr:cNvPr id="98" name="Conexão: curva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INFORMAÇÕES ÚTEIS" descr="INFORMAÇÕES ÚTEIS&#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áfico 147" descr="Óculo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41192"/>
              <a:ext cx="323347" cy="349115"/>
            </a:xfrm>
            <a:prstGeom prst="rect">
              <a:avLst/>
            </a:prstGeom>
          </xdr:spPr>
        </xdr:pic>
        <xdr:sp macro="" textlink="">
          <xdr:nvSpPr>
            <xdr:cNvPr id="102" name="Passo"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À medida que introduz as secções de cada argumento, a descrição do argumento será apresentada na parte inferior do formulário, por cima do resultado da Fórmula.</a:t>
              </a:r>
              <a:endParaRPr lang="en-US" sz="1100">
                <a:effectLst/>
                <a:latin typeface="+mn-lt"/>
              </a:endParaRPr>
            </a:p>
          </xdr:txBody>
        </xdr:sp>
        <xdr:sp macro="" textlink="">
          <xdr:nvSpPr>
            <xdr:cNvPr id="104" name="Forma livre: forma 103" descr="Seta">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342900</xdr:colOff>
      <xdr:row>0</xdr:row>
      <xdr:rowOff>358140</xdr:rowOff>
    </xdr:from>
    <xdr:to>
      <xdr:col>1</xdr:col>
      <xdr:colOff>5208270</xdr:colOff>
      <xdr:row>51</xdr:row>
      <xdr:rowOff>38100</xdr:rowOff>
    </xdr:to>
    <xdr:sp macro="" textlink="">
      <xdr:nvSpPr>
        <xdr:cNvPr id="49" name="txt_FundoDaApresentação" descr="Fundo">
          <a:extLst>
            <a:ext uri="{FF2B5EF4-FFF2-40B4-BE49-F238E27FC236}">
              <a16:creationId xmlns:a16="http://schemas.microsoft.com/office/drawing/2014/main" id="{82635223-B159-4E05-9CEC-2A2F6DF969F2}"/>
            </a:ext>
          </a:extLst>
        </xdr:cNvPr>
        <xdr:cNvSpPr/>
      </xdr:nvSpPr>
      <xdr:spPr>
        <a:xfrm>
          <a:off x="342900" y="361950"/>
          <a:ext cx="5734050" cy="100393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563248</xdr:colOff>
      <xdr:row>0</xdr:row>
      <xdr:rowOff>457199</xdr:rowOff>
    </xdr:from>
    <xdr:to>
      <xdr:col>1</xdr:col>
      <xdr:colOff>4949822</xdr:colOff>
      <xdr:row>3</xdr:row>
      <xdr:rowOff>144298</xdr:rowOff>
    </xdr:to>
    <xdr:sp macro="" textlink="">
      <xdr:nvSpPr>
        <xdr:cNvPr id="50" name="txt_CabeçalhoDaApresentação" descr="Corrigir erros em fórmula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Corrigir erros em fórmulas</a:t>
          </a:r>
        </a:p>
      </xdr:txBody>
    </xdr:sp>
    <xdr:clientData/>
  </xdr:twoCellAnchor>
  <xdr:twoCellAnchor editAs="absolute">
    <xdr:from>
      <xdr:col>0</xdr:col>
      <xdr:colOff>563248</xdr:colOff>
      <xdr:row>2</xdr:row>
      <xdr:rowOff>76201</xdr:rowOff>
    </xdr:from>
    <xdr:to>
      <xdr:col>1</xdr:col>
      <xdr:colOff>4944721</xdr:colOff>
      <xdr:row>2</xdr:row>
      <xdr:rowOff>76201</xdr:rowOff>
    </xdr:to>
    <xdr:cxnSp macro="">
      <xdr:nvCxnSpPr>
        <xdr:cNvPr id="51" name="txt_Linha1DaApresentação" descr="Linha decorativa">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563248</xdr:colOff>
      <xdr:row>47</xdr:row>
      <xdr:rowOff>129751</xdr:rowOff>
    </xdr:from>
    <xdr:to>
      <xdr:col>1</xdr:col>
      <xdr:colOff>4944721</xdr:colOff>
      <xdr:row>47</xdr:row>
      <xdr:rowOff>129751</xdr:rowOff>
    </xdr:to>
    <xdr:cxnSp macro="">
      <xdr:nvCxnSpPr>
        <xdr:cNvPr id="52" name="txt_Linha2DaApresentação" descr="Linha decorativa">
          <a:extLst>
            <a:ext uri="{FF2B5EF4-FFF2-40B4-BE49-F238E27FC236}">
              <a16:creationId xmlns:a16="http://schemas.microsoft.com/office/drawing/2014/main" id="{B4EB5A39-3087-404B-86D1-9EB6F9D1ABB3}"/>
            </a:ext>
          </a:extLst>
        </xdr:cNvPr>
        <xdr:cNvCxnSpPr>
          <a:cxnSpLocks/>
        </xdr:cNvCxnSpPr>
      </xdr:nvCxnSpPr>
      <xdr:spPr>
        <a:xfrm>
          <a:off x="565153" y="97271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107711</xdr:rowOff>
    </xdr:from>
    <xdr:to>
      <xdr:col>1</xdr:col>
      <xdr:colOff>4956332</xdr:colOff>
      <xdr:row>6</xdr:row>
      <xdr:rowOff>177715</xdr:rowOff>
    </xdr:to>
    <xdr:sp macro="" textlink="">
      <xdr:nvSpPr>
        <xdr:cNvPr id="53" name="txt_IntroduçãoDaApresentação" descr="Eventualmente, poderá deparar-se com uma fórmula que contém um erro, que o Excel irá apresentar como #NomeDoErro!. Os erros podem ser úteis na medida em que indicam que algo não está correto, mas podem ser difíceis de corrigir. Felizmente, existem diversas opções que podem ajudar a descobrir a origem do erro e a corrigi-lo.">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Eventualmente, poderá deparar-se com uma fórmula que contém um erro, que o Excel irá apresentar como #NomeDoErro. Os erros podem ser úteis na medida em que indicam que algo não está correto, mas podem ser difíceis de corrigir. Felizmente, existem diversas opções que o podem ajudar a descobrir a origem do erro e a corrigi-lo.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663114</xdr:colOff>
      <xdr:row>8</xdr:row>
      <xdr:rowOff>11430</xdr:rowOff>
    </xdr:from>
    <xdr:to>
      <xdr:col>1</xdr:col>
      <xdr:colOff>5041222</xdr:colOff>
      <xdr:row>14</xdr:row>
      <xdr:rowOff>140970</xdr:rowOff>
    </xdr:to>
    <xdr:grpSp>
      <xdr:nvGrpSpPr>
        <xdr:cNvPr id="2" name="Grupo 1">
          <a:extLst>
            <a:ext uri="{FF2B5EF4-FFF2-40B4-BE49-F238E27FC236}">
              <a16:creationId xmlns:a16="http://schemas.microsoft.com/office/drawing/2014/main" id="{A8B5C958-0EB2-41E2-B876-52C03CDCE6CA}"/>
            </a:ext>
          </a:extLst>
        </xdr:cNvPr>
        <xdr:cNvGrpSpPr/>
      </xdr:nvGrpSpPr>
      <xdr:grpSpPr>
        <a:xfrm>
          <a:off x="666924" y="2072640"/>
          <a:ext cx="5273458" cy="1238250"/>
          <a:chOff x="571500" y="1924050"/>
          <a:chExt cx="5229626" cy="1304925"/>
        </a:xfrm>
      </xdr:grpSpPr>
      <xdr:sp macro="" textlink="">
        <xdr:nvSpPr>
          <xdr:cNvPr id="55" name="txt_Passo" descr="Verificar erros – aceda a Fórmulas &gt; Verificação de erros. Será apresentada uma caixa de diálogo a informar qual é a causa geral do seu erro específico. Na célula D9, é apresentado o erro #N/D porque não existe um valor correspondente a &quot;Maçã&quot;. Pode corrigir este erro ao utilizar um valor existente, suprimir o erro com a função SE.ERRO ou ignorá-lo, já que irá desaparecer quando utilizar um valor existente.">
            <a:extLst>
              <a:ext uri="{FF2B5EF4-FFF2-40B4-BE49-F238E27FC236}">
                <a16:creationId xmlns:a16="http://schemas.microsoft.com/office/drawing/2014/main" id="{4AE4624F-481E-4B9E-ABC2-5B221D8CD197}"/>
              </a:ext>
            </a:extLst>
          </xdr:cNvPr>
          <xdr:cNvSpPr txBox="1"/>
        </xdr:nvSpPr>
        <xdr:spPr>
          <a:xfrm>
            <a:off x="991382" y="1966008"/>
            <a:ext cx="4809744" cy="1262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Verificar erros – Aceda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Verificação de Erros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Será apresentada uma caixa de diálogo que o irá informar de um motivo geral para um erro específico. Na célula D9, é apresentado o erro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#N/D</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porque não existe um valor correspondente a "Maçã". Pode corrigir este erro utilizando um valor existente, suprimir o erro com a função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ou ignorá-lo, já que irá desaparecer quando utilizar um valor existente.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Passo"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849926</xdr:colOff>
      <xdr:row>14</xdr:row>
      <xdr:rowOff>123502</xdr:rowOff>
    </xdr:from>
    <xdr:to>
      <xdr:col>1</xdr:col>
      <xdr:colOff>5051723</xdr:colOff>
      <xdr:row>24</xdr:row>
      <xdr:rowOff>123264</xdr:rowOff>
    </xdr:to>
    <xdr:pic>
      <xdr:nvPicPr>
        <xdr:cNvPr id="57" name="Imagem 56" descr="Caixa de diálogo Verificação de erros">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48021" y="3398197"/>
          <a:ext cx="5066667" cy="1904762"/>
        </a:xfrm>
        <a:prstGeom prst="rect">
          <a:avLst/>
        </a:prstGeom>
      </xdr:spPr>
    </xdr:pic>
    <xdr:clientData/>
  </xdr:twoCellAnchor>
  <xdr:twoCellAnchor editAs="absolute">
    <xdr:from>
      <xdr:col>0</xdr:col>
      <xdr:colOff>663114</xdr:colOff>
      <xdr:row>25</xdr:row>
      <xdr:rowOff>6668</xdr:rowOff>
    </xdr:from>
    <xdr:to>
      <xdr:col>1</xdr:col>
      <xdr:colOff>5041222</xdr:colOff>
      <xdr:row>28</xdr:row>
      <xdr:rowOff>140970</xdr:rowOff>
    </xdr:to>
    <xdr:grpSp>
      <xdr:nvGrpSpPr>
        <xdr:cNvPr id="3" name="Grupo 2">
          <a:extLst>
            <a:ext uri="{FF2B5EF4-FFF2-40B4-BE49-F238E27FC236}">
              <a16:creationId xmlns:a16="http://schemas.microsoft.com/office/drawing/2014/main" id="{76285975-E71E-42A6-9427-0A2776DA5CC0}"/>
            </a:ext>
          </a:extLst>
        </xdr:cNvPr>
        <xdr:cNvGrpSpPr/>
      </xdr:nvGrpSpPr>
      <xdr:grpSpPr>
        <a:xfrm>
          <a:off x="666924" y="5171123"/>
          <a:ext cx="5273458" cy="673417"/>
          <a:chOff x="571500" y="4957763"/>
          <a:chExt cx="5229626" cy="709612"/>
        </a:xfrm>
      </xdr:grpSpPr>
      <xdr:sp macro="" textlink="">
        <xdr:nvSpPr>
          <xdr:cNvPr id="59" name="txt_Passo" descr="Se clicar em Ajuda para este Erro, será aberto um tópico de ajuda específico para a mensagem de erro em questão. Se clicar em Mostrar Passos do Cálculo, será carregada uma caixa de diálogo Avaliar Fórmula.">
            <a:extLst>
              <a:ext uri="{FF2B5EF4-FFF2-40B4-BE49-F238E27FC236}">
                <a16:creationId xmlns:a16="http://schemas.microsoft.com/office/drawing/2014/main" id="{FF0A2293-1E29-453D-8C23-E342D71BA90C}"/>
              </a:ext>
            </a:extLst>
          </xdr:cNvPr>
          <xdr:cNvSpPr txBox="1"/>
        </xdr:nvSpPr>
        <xdr:spPr>
          <a:xfrm>
            <a:off x="991382" y="4999721"/>
            <a:ext cx="4809744" cy="667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clicar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Ajuda para este Erro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será aberto um tópico de ajuda específico para a mensagem de erro em questão. Se clicar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Mostrar Passos do Cálculo</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será carregada uma caixa de diálogo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 Fórmula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Passo"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750877</xdr:colOff>
      <xdr:row>28</xdr:row>
      <xdr:rowOff>140970</xdr:rowOff>
    </xdr:from>
    <xdr:to>
      <xdr:col>1</xdr:col>
      <xdr:colOff>4800293</xdr:colOff>
      <xdr:row>42</xdr:row>
      <xdr:rowOff>64441</xdr:rowOff>
    </xdr:to>
    <xdr:pic>
      <xdr:nvPicPr>
        <xdr:cNvPr id="61" name="Imagem 60" descr="Caixa de diálogo Avaliar Fórmula">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752782" y="6086475"/>
          <a:ext cx="4914286" cy="2628571"/>
        </a:xfrm>
        <a:prstGeom prst="rect">
          <a:avLst/>
        </a:prstGeom>
      </xdr:spPr>
    </xdr:pic>
    <xdr:clientData/>
  </xdr:twoCellAnchor>
  <xdr:twoCellAnchor editAs="absolute">
    <xdr:from>
      <xdr:col>0</xdr:col>
      <xdr:colOff>663114</xdr:colOff>
      <xdr:row>42</xdr:row>
      <xdr:rowOff>140970</xdr:rowOff>
    </xdr:from>
    <xdr:to>
      <xdr:col>1</xdr:col>
      <xdr:colOff>5041222</xdr:colOff>
      <xdr:row>47</xdr:row>
      <xdr:rowOff>38100</xdr:rowOff>
    </xdr:to>
    <xdr:grpSp>
      <xdr:nvGrpSpPr>
        <xdr:cNvPr id="4" name="Grupo 3">
          <a:extLst>
            <a:ext uri="{FF2B5EF4-FFF2-40B4-BE49-F238E27FC236}">
              <a16:creationId xmlns:a16="http://schemas.microsoft.com/office/drawing/2014/main" id="{85545FAE-3743-4F8E-97DB-E0C750FA7DE7}"/>
            </a:ext>
          </a:extLst>
        </xdr:cNvPr>
        <xdr:cNvGrpSpPr/>
      </xdr:nvGrpSpPr>
      <xdr:grpSpPr>
        <a:xfrm>
          <a:off x="666924" y="8416290"/>
          <a:ext cx="5273458" cy="803910"/>
          <a:chOff x="571500" y="8372475"/>
          <a:chExt cx="5229626" cy="847725"/>
        </a:xfrm>
      </xdr:grpSpPr>
      <xdr:sp macro="" textlink="">
        <xdr:nvSpPr>
          <xdr:cNvPr id="63" name="txt_Passo" descr="Sempre que clicar em Avaliar, o Excel irá orientá-lo em cada secção da fórmula. Não irá explicar por que razão ocorreu um erro, mas irá indicar-lhe em que parte ocorreu.">
            <a:extLst>
              <a:ext uri="{FF2B5EF4-FFF2-40B4-BE49-F238E27FC236}">
                <a16:creationId xmlns:a16="http://schemas.microsoft.com/office/drawing/2014/main" id="{0D6FDE98-287E-402E-9C3F-81CD5951F461}"/>
              </a:ext>
            </a:extLst>
          </xdr:cNvPr>
          <xdr:cNvSpPr txBox="1"/>
        </xdr:nvSpPr>
        <xdr:spPr>
          <a:xfrm>
            <a:off x="991382" y="8414433"/>
            <a:ext cx="4809744" cy="805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Cada vez que clicar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Excel irá orientá-lo por cada secção da fórmula. Não explica por que razão ocorreu um erro, mas irá indicar-lhe em que parte ocorreu. Depois disto, aceda ao tópico de ajuda para perceber o que se passou com a sua fórmula.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Passo"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586740</xdr:colOff>
      <xdr:row>48</xdr:row>
      <xdr:rowOff>91440</xdr:rowOff>
    </xdr:from>
    <xdr:to>
      <xdr:col>1</xdr:col>
      <xdr:colOff>1000852</xdr:colOff>
      <xdr:row>50</xdr:row>
      <xdr:rowOff>53509</xdr:rowOff>
    </xdr:to>
    <xdr:sp macro="" textlink="">
      <xdr:nvSpPr>
        <xdr:cNvPr id="65" name="BotãoAnterior" descr="Regressar à folha anterior">
          <a:hlinkClick xmlns:r="http://schemas.openxmlformats.org/officeDocument/2006/relationships" r:id="rId3" tooltip="Clique aqui para voltar à folha anterior"/>
          <a:extLst>
            <a:ext uri="{FF2B5EF4-FFF2-40B4-BE49-F238E27FC236}">
              <a16:creationId xmlns:a16="http://schemas.microsoft.com/office/drawing/2014/main" id="{59901CBF-662C-46B7-9798-9856B1E5ACCE}"/>
            </a:ext>
          </a:extLst>
        </xdr:cNvPr>
        <xdr:cNvSpPr/>
      </xdr:nvSpPr>
      <xdr:spPr>
        <a:xfrm flipH="1">
          <a:off x="590550" y="98869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3673644</xdr:colOff>
      <xdr:row>48</xdr:row>
      <xdr:rowOff>91440</xdr:rowOff>
    </xdr:from>
    <xdr:to>
      <xdr:col>1</xdr:col>
      <xdr:colOff>4943101</xdr:colOff>
      <xdr:row>50</xdr:row>
      <xdr:rowOff>53509</xdr:rowOff>
    </xdr:to>
    <xdr:sp macro="" textlink="">
      <xdr:nvSpPr>
        <xdr:cNvPr id="66" name="BotãoSeguinte" descr="Avançar para a folha seguinte">
          <a:hlinkClick xmlns:r="http://schemas.openxmlformats.org/officeDocument/2006/relationships" r:id="rId4" tooltip="Clique aqui para avançar para a folha seguinte"/>
          <a:extLst>
            <a:ext uri="{FF2B5EF4-FFF2-40B4-BE49-F238E27FC236}">
              <a16:creationId xmlns:a16="http://schemas.microsoft.com/office/drawing/2014/main" id="{A1974C03-9104-44F6-9B95-FBB22D17937B}"/>
            </a:ext>
          </a:extLst>
        </xdr:cNvPr>
        <xdr:cNvSpPr/>
      </xdr:nvSpPr>
      <xdr:spPr>
        <a:xfrm>
          <a:off x="4536609" y="98869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2</xdr:col>
      <xdr:colOff>876300</xdr:colOff>
      <xdr:row>36</xdr:row>
      <xdr:rowOff>38100</xdr:rowOff>
    </xdr:from>
    <xdr:to>
      <xdr:col>7</xdr:col>
      <xdr:colOff>331470</xdr:colOff>
      <xdr:row>42</xdr:row>
      <xdr:rowOff>48671</xdr:rowOff>
    </xdr:to>
    <xdr:grpSp>
      <xdr:nvGrpSpPr>
        <xdr:cNvPr id="67" name="EXPERIMENTE" descr="EXPERIMENTE">
          <a:extLst>
            <a:ext uri="{FF2B5EF4-FFF2-40B4-BE49-F238E27FC236}">
              <a16:creationId xmlns:a16="http://schemas.microsoft.com/office/drawing/2014/main" id="{7AB7F1CB-875F-43B5-84D0-9EF392715E5F}"/>
            </a:ext>
          </a:extLst>
        </xdr:cNvPr>
        <xdr:cNvGrpSpPr/>
      </xdr:nvGrpSpPr>
      <xdr:grpSpPr>
        <a:xfrm>
          <a:off x="7458075" y="7219950"/>
          <a:ext cx="3110865" cy="1107851"/>
          <a:chOff x="6375400" y="12710331"/>
          <a:chExt cx="3917902" cy="1161191"/>
        </a:xfrm>
      </xdr:grpSpPr>
      <xdr:sp macro="" textlink="">
        <xdr:nvSpPr>
          <xdr:cNvPr id="68" name="Passo"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68569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O que</a:t>
            </a:r>
            <a:r>
              <a:rPr lang="pt-pt" sz="1100" kern="0" baseline="0">
                <a:solidFill>
                  <a:schemeClr val="bg2">
                    <a:lumMod val="25000"/>
                  </a:schemeClr>
                </a:solidFill>
                <a:latin typeface="+mn-lt"/>
                <a:ea typeface="Segoe UI" pitchFamily="34" charset="0"/>
                <a:cs typeface="Segoe UI Light" panose="020B0502040204020203" pitchFamily="34" charset="0"/>
              </a:rPr>
              <a:t> está errado aqui? Pista: estamos a tentar aplicar a função </a:t>
            </a:r>
            <a:r>
              <a:rPr lang="pt-pt" sz="1100" b="1" kern="0" baseline="0">
                <a:solidFill>
                  <a:schemeClr val="bg2">
                    <a:lumMod val="25000"/>
                  </a:schemeClr>
                </a:solidFill>
                <a:latin typeface="+mn-lt"/>
                <a:ea typeface="Segoe UI" pitchFamily="34" charset="0"/>
                <a:cs typeface="Segoe UI Light" panose="020B0502040204020203" pitchFamily="34" charset="0"/>
              </a:rPr>
              <a:t>SOMA</a:t>
            </a:r>
            <a:r>
              <a:rPr lang="pt-pt" sz="1100" kern="0" baseline="0">
                <a:solidFill>
                  <a:schemeClr val="bg2">
                    <a:lumMod val="25000"/>
                  </a:schemeClr>
                </a:solidFill>
                <a:latin typeface="+mn-lt"/>
                <a:ea typeface="Segoe UI" pitchFamily="34" charset="0"/>
                <a:cs typeface="Segoe UI Light" panose="020B0502040204020203" pitchFamily="34" charset="0"/>
              </a:rPr>
              <a:t> a todos os itens.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orma livre: forma 68" descr="Linha de chavetas">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0" name="Forma livre: forma 69" descr="Linha de chavetas">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1" name="Arco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2" name="Arco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Gráfico 96" descr="Gobelé">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2980570"/>
            <a:ext cx="384748" cy="368300"/>
          </a:xfrm>
          <a:prstGeom prst="rect">
            <a:avLst/>
          </a:prstGeom>
        </xdr:spPr>
      </xdr:pic>
    </xdr:grpSp>
    <xdr:clientData/>
  </xdr:twoCellAnchor>
  <xdr:twoCellAnchor editAs="absolute">
    <xdr:from>
      <xdr:col>2</xdr:col>
      <xdr:colOff>49529</xdr:colOff>
      <xdr:row>22</xdr:row>
      <xdr:rowOff>8935</xdr:rowOff>
    </xdr:from>
    <xdr:to>
      <xdr:col>5</xdr:col>
      <xdr:colOff>468629</xdr:colOff>
      <xdr:row>26</xdr:row>
      <xdr:rowOff>125742</xdr:rowOff>
    </xdr:to>
    <xdr:grpSp>
      <xdr:nvGrpSpPr>
        <xdr:cNvPr id="74" name="INFORMAÇÕES ÚTEIS" descr="INFORMAÇÕES ÚTEIS&#10;&#10;">
          <a:extLst>
            <a:ext uri="{FF2B5EF4-FFF2-40B4-BE49-F238E27FC236}">
              <a16:creationId xmlns:a16="http://schemas.microsoft.com/office/drawing/2014/main" id="{31BEE91F-7C0C-4732-BB35-0C8B019C6B03}"/>
            </a:ext>
          </a:extLst>
        </xdr:cNvPr>
        <xdr:cNvGrpSpPr/>
      </xdr:nvGrpSpPr>
      <xdr:grpSpPr>
        <a:xfrm>
          <a:off x="6633209" y="4630465"/>
          <a:ext cx="2857500" cy="842612"/>
          <a:chOff x="6778625" y="15619706"/>
          <a:chExt cx="2889448" cy="855693"/>
        </a:xfrm>
      </xdr:grpSpPr>
      <xdr:sp macro="" textlink="">
        <xdr:nvSpPr>
          <xdr:cNvPr id="75" name="Passo"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62511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tx1">
                    <a:lumMod val="75000"/>
                    <a:lumOff val="25000"/>
                  </a:schemeClr>
                </a:solidFill>
                <a:effectLst/>
                <a:latin typeface="+mn-lt"/>
                <a:ea typeface="+mn-ea"/>
                <a:cs typeface="+mn-cs"/>
              </a:rPr>
              <a:t>Ao clicar em </a:t>
            </a:r>
            <a:r>
              <a:rPr lang="pt-pt" sz="1100" b="1" i="0" kern="1200" baseline="0">
                <a:solidFill>
                  <a:schemeClr val="tx1">
                    <a:lumMod val="75000"/>
                    <a:lumOff val="25000"/>
                  </a:schemeClr>
                </a:solidFill>
                <a:effectLst/>
                <a:latin typeface="+mn-lt"/>
                <a:ea typeface="+mn-ea"/>
                <a:cs typeface="+mn-cs"/>
              </a:rPr>
              <a:t>Opções</a:t>
            </a:r>
            <a:r>
              <a:rPr lang="pt-pt" sz="1100" b="0" i="0" kern="1200" baseline="0">
                <a:solidFill>
                  <a:schemeClr val="tx1">
                    <a:lumMod val="75000"/>
                    <a:lumOff val="25000"/>
                  </a:schemeClr>
                </a:solidFill>
                <a:effectLst/>
                <a:latin typeface="+mn-lt"/>
                <a:ea typeface="+mn-ea"/>
                <a:cs typeface="+mn-cs"/>
              </a:rPr>
              <a:t> poderá definir regras para quando forem apresentados ou ignorados erros no Excel.</a:t>
            </a:r>
            <a:endParaRPr lang="en-US" sz="1100">
              <a:solidFill>
                <a:schemeClr val="tx1">
                  <a:lumMod val="75000"/>
                  <a:lumOff val="25000"/>
                </a:schemeClr>
              </a:solidFill>
              <a:effectLst/>
              <a:latin typeface="+mn-lt"/>
            </a:endParaRPr>
          </a:p>
        </xdr:txBody>
      </xdr:sp>
      <xdr:pic>
        <xdr:nvPicPr>
          <xdr:cNvPr id="76" name="Gráfico 147" descr="Óculo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6"/>
            <a:ext cx="323347" cy="349115"/>
          </a:xfrm>
          <a:prstGeom prst="rect">
            <a:avLst/>
          </a:prstGeom>
        </xdr:spPr>
      </xdr:pic>
    </xdr:grpSp>
    <xdr:clientData/>
  </xdr:twoCellAnchor>
  <xdr:twoCellAnchor>
    <xdr:from>
      <xdr:col>1</xdr:col>
      <xdr:colOff>819151</xdr:colOff>
      <xdr:row>22</xdr:row>
      <xdr:rowOff>142875</xdr:rowOff>
    </xdr:from>
    <xdr:to>
      <xdr:col>1</xdr:col>
      <xdr:colOff>5495928</xdr:colOff>
      <xdr:row>23</xdr:row>
      <xdr:rowOff>123825</xdr:rowOff>
    </xdr:to>
    <xdr:cxnSp macro="">
      <xdr:nvCxnSpPr>
        <xdr:cNvPr id="77" name="Conexão: curva 76">
          <a:extLst>
            <a:ext uri="{FF2B5EF4-FFF2-40B4-BE49-F238E27FC236}">
              <a16:creationId xmlns:a16="http://schemas.microsoft.com/office/drawing/2014/main" id="{16767E7F-5A94-4A53-A7E2-81A5EF1897C0}"/>
            </a:ext>
          </a:extLst>
        </xdr:cNvPr>
        <xdr:cNvCxnSpPr/>
      </xdr:nvCxnSpPr>
      <xdr:spPr>
        <a:xfrm rot="10800000" flipV="1">
          <a:off x="1685926" y="4943475"/>
          <a:ext cx="4676777" cy="171450"/>
        </a:xfrm>
        <a:prstGeom prst="curvedConnector3">
          <a:avLst>
            <a:gd name="adj1" fmla="val 5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51</xdr:row>
      <xdr:rowOff>123825</xdr:rowOff>
    </xdr:from>
    <xdr:to>
      <xdr:col>1</xdr:col>
      <xdr:colOff>5209413</xdr:colOff>
      <xdr:row>65</xdr:row>
      <xdr:rowOff>57150</xdr:rowOff>
    </xdr:to>
    <xdr:grpSp>
      <xdr:nvGrpSpPr>
        <xdr:cNvPr id="78" name="Grupo 77">
          <a:extLst>
            <a:ext uri="{FF2B5EF4-FFF2-40B4-BE49-F238E27FC236}">
              <a16:creationId xmlns:a16="http://schemas.microsoft.com/office/drawing/2014/main" id="{340F396F-7EEE-4FE2-8349-58C6AAB22606}"/>
            </a:ext>
          </a:extLst>
        </xdr:cNvPr>
        <xdr:cNvGrpSpPr/>
      </xdr:nvGrpSpPr>
      <xdr:grpSpPr>
        <a:xfrm>
          <a:off x="342900" y="10031730"/>
          <a:ext cx="5759958" cy="2461260"/>
          <a:chOff x="352425" y="10715625"/>
          <a:chExt cx="5733288" cy="2390775"/>
        </a:xfrm>
      </xdr:grpSpPr>
      <xdr:sp macro="" textlink="">
        <xdr:nvSpPr>
          <xdr:cNvPr id="79" name="Retângulo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0" name="Passo" descr="Mais informações na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Conexão Reta 80" descr="Linha decorativa">
            <a:extLst>
              <a:ext uri="{FF2B5EF4-FFF2-40B4-BE49-F238E27FC236}">
                <a16:creationId xmlns:a16="http://schemas.microsoft.com/office/drawing/2014/main" id="{D78368A3-B0DA-4D56-A2D9-D61314658FEC}"/>
              </a:ext>
            </a:extLst>
          </xdr:cNvPr>
          <xdr:cNvCxnSpPr>
            <a:cxnSpLocks/>
          </xdr:cNvCxnSpPr>
        </xdr:nvCxnSpPr>
        <xdr:spPr>
          <a:xfrm>
            <a:off x="585659" y="11319574"/>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Conexão Reta 81" descr="Linha decorativa">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55</xdr:row>
      <xdr:rowOff>111844</xdr:rowOff>
    </xdr:from>
    <xdr:to>
      <xdr:col>1</xdr:col>
      <xdr:colOff>2552700</xdr:colOff>
      <xdr:row>57</xdr:row>
      <xdr:rowOff>89923</xdr:rowOff>
    </xdr:to>
    <xdr:grpSp>
      <xdr:nvGrpSpPr>
        <xdr:cNvPr id="83" name="Grupo 82">
          <a:extLst>
            <a:ext uri="{FF2B5EF4-FFF2-40B4-BE49-F238E27FC236}">
              <a16:creationId xmlns:a16="http://schemas.microsoft.com/office/drawing/2014/main" id="{1612118D-530C-41CF-BA41-E6AC52C9311F}"/>
            </a:ext>
          </a:extLst>
        </xdr:cNvPr>
        <xdr:cNvGrpSpPr/>
      </xdr:nvGrpSpPr>
      <xdr:grpSpPr>
        <a:xfrm>
          <a:off x="549071" y="10741744"/>
          <a:ext cx="2898979" cy="343839"/>
          <a:chOff x="552881" y="10532194"/>
          <a:chExt cx="2866594" cy="359079"/>
        </a:xfrm>
      </xdr:grpSpPr>
      <xdr:sp macro="" textlink="">
        <xdr:nvSpPr>
          <xdr:cNvPr id="84" name="Passo" descr="Tudo sobre a função SE, com hiperligação para a Web&#10;&#10;">
            <a:hlinkClick xmlns:r="http://schemas.openxmlformats.org/officeDocument/2006/relationships" r:id="rId9" tooltip="Selecione para aceder à Web e saber tudo sobre como detetar erros em fórmulas"/>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Detetar erros em fórmulas</a:t>
            </a:r>
          </a:p>
        </xdr:txBody>
      </xdr:sp>
      <xdr:pic>
        <xdr:nvPicPr>
          <xdr:cNvPr id="85"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57</xdr:row>
      <xdr:rowOff>105910</xdr:rowOff>
    </xdr:from>
    <xdr:to>
      <xdr:col>1</xdr:col>
      <xdr:colOff>2581275</xdr:colOff>
      <xdr:row>59</xdr:row>
      <xdr:rowOff>89299</xdr:rowOff>
    </xdr:to>
    <xdr:grpSp>
      <xdr:nvGrpSpPr>
        <xdr:cNvPr id="86" name="Grupo 85">
          <a:extLst>
            <a:ext uri="{FF2B5EF4-FFF2-40B4-BE49-F238E27FC236}">
              <a16:creationId xmlns:a16="http://schemas.microsoft.com/office/drawing/2014/main" id="{ADC1751D-5736-45B9-8E54-EF18BF377AD1}"/>
            </a:ext>
          </a:extLst>
        </xdr:cNvPr>
        <xdr:cNvGrpSpPr/>
      </xdr:nvGrpSpPr>
      <xdr:grpSpPr>
        <a:xfrm>
          <a:off x="549071" y="11095855"/>
          <a:ext cx="2925649" cy="351054"/>
          <a:chOff x="552881" y="10907260"/>
          <a:chExt cx="2895169" cy="364389"/>
        </a:xfrm>
      </xdr:grpSpPr>
      <xdr:sp macro="" textlink="">
        <xdr:nvSpPr>
          <xdr:cNvPr id="87" name="Passo" descr="Tudo sobre a função SE.S, com hiperligação para a Web&#10;">
            <a:hlinkClick xmlns:r="http://schemas.openxmlformats.org/officeDocument/2006/relationships" r:id="rId12" tooltip="Selecione para aceder à Web e saber tudo sobre como impedir fórmulas quebradas"/>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Como evitar fórmulas quebradas</a:t>
            </a:r>
          </a:p>
        </xdr:txBody>
      </xdr:sp>
      <xdr:pic>
        <xdr:nvPicPr>
          <xdr:cNvPr id="88" name="Gráfico 22" descr="Seta">
            <a:hlinkClick xmlns:r="http://schemas.openxmlformats.org/officeDocument/2006/relationships" r:id="rId12" tooltip="Selecione para obter mais informações na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61</xdr:row>
      <xdr:rowOff>136828</xdr:rowOff>
    </xdr:from>
    <xdr:to>
      <xdr:col>1</xdr:col>
      <xdr:colOff>3657600</xdr:colOff>
      <xdr:row>63</xdr:row>
      <xdr:rowOff>120217</xdr:rowOff>
    </xdr:to>
    <xdr:grpSp>
      <xdr:nvGrpSpPr>
        <xdr:cNvPr id="89" name="Grupo 88">
          <a:extLst>
            <a:ext uri="{FF2B5EF4-FFF2-40B4-BE49-F238E27FC236}">
              <a16:creationId xmlns:a16="http://schemas.microsoft.com/office/drawing/2014/main" id="{7988A760-4FB2-4E7F-B1F1-2324CEF3CF3E}"/>
            </a:ext>
          </a:extLst>
        </xdr:cNvPr>
        <xdr:cNvGrpSpPr/>
      </xdr:nvGrpSpPr>
      <xdr:grpSpPr>
        <a:xfrm>
          <a:off x="549071" y="11848768"/>
          <a:ext cx="4003879" cy="351054"/>
          <a:chOff x="552881" y="11700178"/>
          <a:chExt cx="3971494" cy="364389"/>
        </a:xfrm>
      </xdr:grpSpPr>
      <xdr:sp macro="" textlink="">
        <xdr:nvSpPr>
          <xdr:cNvPr id="90" name="Passo" descr="Formação online gratuita do Excel, com hiperligação para a Web&#10;">
            <a:hlinkClick xmlns:r="http://schemas.openxmlformats.org/officeDocument/2006/relationships" r:id="rId13" tooltip="Selecione para aceder à Web e saber tudo sobre a formação online gratuita do Excel"/>
            <a:extLst>
              <a:ext uri="{FF2B5EF4-FFF2-40B4-BE49-F238E27FC236}">
                <a16:creationId xmlns:a16="http://schemas.microsoft.com/office/drawing/2014/main" id="{83AC531D-CB18-4A4A-92F0-122C8840F418}"/>
              </a:ext>
            </a:extLst>
          </xdr:cNvPr>
          <xdr:cNvSpPr txBox="1"/>
        </xdr:nvSpPr>
        <xdr:spPr>
          <a:xfrm>
            <a:off x="1030674" y="11751282"/>
            <a:ext cx="34937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91" name="Gráfico 22" descr="Seta">
            <a:hlinkClick xmlns:r="http://schemas.openxmlformats.org/officeDocument/2006/relationships" r:id="rId13" tooltip="Selecione para obter mais informações na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59</xdr:row>
      <xdr:rowOff>105286</xdr:rowOff>
    </xdr:from>
    <xdr:to>
      <xdr:col>1</xdr:col>
      <xdr:colOff>3486149</xdr:colOff>
      <xdr:row>61</xdr:row>
      <xdr:rowOff>88675</xdr:rowOff>
    </xdr:to>
    <xdr:grpSp>
      <xdr:nvGrpSpPr>
        <xdr:cNvPr id="92" name="Grupo 91">
          <a:extLst>
            <a:ext uri="{FF2B5EF4-FFF2-40B4-BE49-F238E27FC236}">
              <a16:creationId xmlns:a16="http://schemas.microsoft.com/office/drawing/2014/main" id="{1287D230-E85C-41F6-AC03-12C8065534DF}"/>
            </a:ext>
          </a:extLst>
        </xdr:cNvPr>
        <xdr:cNvGrpSpPr/>
      </xdr:nvGrpSpPr>
      <xdr:grpSpPr>
        <a:xfrm>
          <a:off x="549071" y="11457181"/>
          <a:ext cx="3836238" cy="351054"/>
          <a:chOff x="552881" y="11287636"/>
          <a:chExt cx="3800043" cy="364389"/>
        </a:xfrm>
      </xdr:grpSpPr>
      <xdr:sp macro="" textlink="">
        <xdr:nvSpPr>
          <xdr:cNvPr id="93" name="Passo" descr="Instruções SE avançadas, com hiperligação para a Web&#10;">
            <a:hlinkClick xmlns:r="http://schemas.openxmlformats.org/officeDocument/2006/relationships" r:id="rId14" tooltip="Selecione para aceder à Web e saber tudo sobre como avaliar fórmulas aninhadas passo a passo"/>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Avaliar</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uma fórmula aninhada passo a passo</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áfico 22" descr="Seta">
            <a:hlinkClick xmlns:r="http://schemas.openxmlformats.org/officeDocument/2006/relationships" r:id="rId14" tooltip="Selecione para obter mais informações na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oneCellAnchor>
    <xdr:from>
      <xdr:col>0</xdr:col>
      <xdr:colOff>333376</xdr:colOff>
      <xdr:row>0</xdr:row>
      <xdr:rowOff>352425</xdr:rowOff>
    </xdr:from>
    <xdr:ext cx="8918401" cy="4613271"/>
    <xdr:grpSp>
      <xdr:nvGrpSpPr>
        <xdr:cNvPr id="32" name="Grupo 31">
          <a:extLst>
            <a:ext uri="{FF2B5EF4-FFF2-40B4-BE49-F238E27FC236}">
              <a16:creationId xmlns:a16="http://schemas.microsoft.com/office/drawing/2014/main" id="{6725C923-6B3B-4CCA-98A0-990F1C1B87A8}"/>
            </a:ext>
          </a:extLst>
        </xdr:cNvPr>
        <xdr:cNvGrpSpPr/>
      </xdr:nvGrpSpPr>
      <xdr:grpSpPr>
        <a:xfrm>
          <a:off x="331471" y="354330"/>
          <a:ext cx="8918401" cy="4613271"/>
          <a:chOff x="171451" y="285750"/>
          <a:chExt cx="8918401" cy="4613271"/>
        </a:xfrm>
      </xdr:grpSpPr>
      <xdr:grpSp>
        <xdr:nvGrpSpPr>
          <xdr:cNvPr id="13" name="Grupo 12">
            <a:extLst>
              <a:ext uri="{FF2B5EF4-FFF2-40B4-BE49-F238E27FC236}">
                <a16:creationId xmlns:a16="http://schemas.microsoft.com/office/drawing/2014/main" id="{3FA7D425-D370-44B8-8FA4-045B5D6E310A}"/>
              </a:ext>
            </a:extLst>
          </xdr:cNvPr>
          <xdr:cNvGrpSpPr/>
        </xdr:nvGrpSpPr>
        <xdr:grpSpPr>
          <a:xfrm>
            <a:off x="171451" y="285750"/>
            <a:ext cx="8321040" cy="4613271"/>
            <a:chOff x="171451" y="285750"/>
            <a:chExt cx="8321040" cy="4613271"/>
          </a:xfrm>
        </xdr:grpSpPr>
        <xdr:sp macro="" textlink="">
          <xdr:nvSpPr>
            <xdr:cNvPr id="30" name="Retângulo 29" descr="Fundo">
              <a:extLst>
                <a:ext uri="{FF2B5EF4-FFF2-40B4-BE49-F238E27FC236}">
                  <a16:creationId xmlns:a16="http://schemas.microsoft.com/office/drawing/2014/main" id="{7626CA03-671C-4586-BB83-B5B27BDAF61D}"/>
                </a:ext>
              </a:extLst>
            </xdr:cNvPr>
            <xdr:cNvSpPr/>
          </xdr:nvSpPr>
          <xdr:spPr>
            <a:xfrm>
              <a:off x="171451" y="285750"/>
              <a:ext cx="8321040" cy="457200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31" name="Retângulo 30" descr="Fundo">
              <a:extLst>
                <a:ext uri="{FF2B5EF4-FFF2-40B4-BE49-F238E27FC236}">
                  <a16:creationId xmlns:a16="http://schemas.microsoft.com/office/drawing/2014/main" id="{0EF2E102-5A65-4310-A323-6E9410B364FE}"/>
                </a:ext>
              </a:extLst>
            </xdr:cNvPr>
            <xdr:cNvSpPr/>
          </xdr:nvSpPr>
          <xdr:spPr>
            <a:xfrm>
              <a:off x="171451" y="1332861"/>
              <a:ext cx="8321040" cy="356616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14" name="Mensagem de Boas-vindas" descr="Continue. Existem várias formas de simplificar o seu trabalho:">
            <a:extLst>
              <a:ext uri="{FF2B5EF4-FFF2-40B4-BE49-F238E27FC236}">
                <a16:creationId xmlns:a16="http://schemas.microsoft.com/office/drawing/2014/main" id="{914889AE-4E16-4A8A-A641-A17A3C6BFA28}"/>
              </a:ext>
            </a:extLst>
          </xdr:cNvPr>
          <xdr:cNvSpPr txBox="1"/>
        </xdr:nvSpPr>
        <xdr:spPr>
          <a:xfrm>
            <a:off x="837876" y="2084395"/>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pt-pt"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Continue. Ainda há muito mais para saber sobre o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Mensagem de Boas-vindas" descr="Tem mais perguntas sobre o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pt-pt" sz="2600" b="0" i="0" baseline="0">
                <a:solidFill>
                  <a:schemeClr val="bg1"/>
                </a:solidFill>
                <a:effectLst/>
                <a:latin typeface="Segoe UI Light" pitchFamily="34" charset="0"/>
                <a:ea typeface="Segoe UI" pitchFamily="34" charset="0"/>
                <a:cs typeface="Segoe UI" pitchFamily="34" charset="0"/>
              </a:rPr>
              <a:t>Tem mais perguntas sobre o Excel?</a:t>
            </a:r>
            <a:endParaRPr lang="en-US" sz="2600" b="0">
              <a:latin typeface="Segoe UI Light" pitchFamily="34" charset="0"/>
              <a:ea typeface="Segoe UI" pitchFamily="34" charset="0"/>
              <a:cs typeface="Segoe UI" pitchFamily="34" charset="0"/>
            </a:endParaRPr>
          </a:p>
        </xdr:txBody>
      </xdr:sp>
      <xdr:sp macro="" textlink="">
        <xdr:nvSpPr>
          <xdr:cNvPr id="23" name="CaixaDeTexto 22" descr="Saiba mais">
            <a:hlinkClick xmlns:r="http://schemas.openxmlformats.org/officeDocument/2006/relationships" r:id="rId1" tooltip="Saiba mais sobre a Comunidade do Excel na Web"/>
            <a:extLst>
              <a:ext uri="{FF2B5EF4-FFF2-40B4-BE49-F238E27FC236}">
                <a16:creationId xmlns:a16="http://schemas.microsoft.com/office/drawing/2014/main" id="{0E4F3BD9-1086-4455-B51C-A8936225A3CC}"/>
              </a:ext>
            </a:extLst>
          </xdr:cNvPr>
          <xdr:cNvSpPr txBox="1"/>
        </xdr:nvSpPr>
        <xdr:spPr>
          <a:xfrm>
            <a:off x="1862597" y="3539775"/>
            <a:ext cx="2242677" cy="50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 </a:t>
            </a:r>
          </a:p>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(apenas em inglês)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CaixaDeTexto 23" descr="Saiba mais">
            <a:hlinkClick xmlns:r="http://schemas.openxmlformats.org/officeDocument/2006/relationships" r:id="rId2" tooltip="Saiba mais sobre as novidades do Excel na Web"/>
            <a:extLst>
              <a:ext uri="{FF2B5EF4-FFF2-40B4-BE49-F238E27FC236}">
                <a16:creationId xmlns:a16="http://schemas.microsoft.com/office/drawing/2014/main" id="{C99A8BC1-9314-4FC6-B158-3CC6B224F07E}"/>
              </a:ext>
            </a:extLst>
          </xdr:cNvPr>
          <xdr:cNvSpPr txBox="1"/>
        </xdr:nvSpPr>
        <xdr:spPr>
          <a:xfrm>
            <a:off x="5262317" y="3539775"/>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CaixaDeTexto 24" descr="Community&#10;Ask questions and connect with other Excel fans">
            <a:hlinkClick xmlns:r="http://schemas.openxmlformats.org/officeDocument/2006/relationships" r:id="rId1" tooltip="Saiba mais sobre a comunidade do Excel na Web"/>
            <a:extLst>
              <a:ext uri="{FF2B5EF4-FFF2-40B4-BE49-F238E27FC236}">
                <a16:creationId xmlns:a16="http://schemas.microsoft.com/office/drawing/2014/main" id="{1293751F-7023-4F3D-A3F2-7A62FD5D2D64}"/>
              </a:ext>
            </a:extLst>
          </xdr:cNvPr>
          <xdr:cNvSpPr txBox="1"/>
        </xdr:nvSpPr>
        <xdr:spPr>
          <a:xfrm>
            <a:off x="1862598" y="2533649"/>
            <a:ext cx="1842627"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400" baseline="0">
                <a:solidFill>
                  <a:srgbClr val="217346"/>
                </a:solidFill>
                <a:effectLst/>
                <a:latin typeface="Segoe UI Light" panose="020B0502040204020203" pitchFamily="34" charset="0"/>
                <a:ea typeface="+mn-ea"/>
                <a:cs typeface="Segoe UI Light" panose="020B0502040204020203" pitchFamily="34" charset="0"/>
              </a:rPr>
              <a:t>Comunidade</a:t>
            </a:r>
          </a:p>
          <a:p>
            <a:pPr algn="l" rtl="0"/>
            <a:r>
              <a:rPr lang="pt-p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Faça perguntas e ligue-se a outros fãs do Excel.</a:t>
            </a:r>
          </a:p>
        </xdr:txBody>
      </xdr:sp>
      <xdr:sp macro="" textlink="">
        <xdr:nvSpPr>
          <xdr:cNvPr id="28" name="CaixaDeTexto 27" descr="What else is new?&#10;Office 365 subscribers get continual updates and new features">
            <a:hlinkClick xmlns:r="http://schemas.openxmlformats.org/officeDocument/2006/relationships" r:id="rId2" tooltip="Saiba mais sobre as novidades do Excel na Web"/>
            <a:extLst>
              <a:ext uri="{FF2B5EF4-FFF2-40B4-BE49-F238E27FC236}">
                <a16:creationId xmlns:a16="http://schemas.microsoft.com/office/drawing/2014/main" id="{ECCFA6AB-0C67-4817-85A5-BD3EDB6C982F}"/>
              </a:ext>
            </a:extLst>
          </xdr:cNvPr>
          <xdr:cNvSpPr txBox="1"/>
        </xdr:nvSpPr>
        <xdr:spPr>
          <a:xfrm>
            <a:off x="5248275" y="2533650"/>
            <a:ext cx="2209799"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400" baseline="0">
                <a:solidFill>
                  <a:srgbClr val="217346"/>
                </a:solidFill>
                <a:effectLst/>
                <a:latin typeface="Segoe UI Light" panose="020B0502040204020203" pitchFamily="34" charset="0"/>
                <a:ea typeface="+mn-ea"/>
                <a:cs typeface="Segoe UI Light" panose="020B0502040204020203" pitchFamily="34" charset="0"/>
              </a:rPr>
              <a:t>Quer saber as novidades?</a:t>
            </a:r>
          </a:p>
          <a:p>
            <a:pPr algn="l" rtl="0"/>
            <a:r>
              <a:rPr lang="pt-p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Os subscritores do Office 365 obtêm atualizações contínuas e novas funcionalidades.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Imagem 28" descr="Comunidade">
            <a:hlinkClick xmlns:r="http://schemas.openxmlformats.org/officeDocument/2006/relationships" r:id="rId1" tooltip="Saiba mais na comunidade do Excel na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3"/>
          <a:stretch>
            <a:fillRect/>
          </a:stretch>
        </xdr:blipFill>
        <xdr:spPr>
          <a:xfrm>
            <a:off x="933450" y="2676641"/>
            <a:ext cx="926984" cy="774603"/>
          </a:xfrm>
          <a:prstGeom prst="rect">
            <a:avLst/>
          </a:prstGeom>
        </xdr:spPr>
      </xdr:pic>
    </xdr:grpSp>
    <xdr:clientData/>
  </xdr:oneCellAnchor>
  <xdr:oneCellAnchor>
    <xdr:from>
      <xdr:col>1</xdr:col>
      <xdr:colOff>3745788</xdr:colOff>
      <xdr:row>12</xdr:row>
      <xdr:rowOff>3462</xdr:rowOff>
    </xdr:from>
    <xdr:ext cx="974505" cy="786961"/>
    <xdr:grpSp>
      <xdr:nvGrpSpPr>
        <xdr:cNvPr id="5" name="Grupo 4" descr="Quer conhecer mais novidades?">
          <a:hlinkClick xmlns:r="http://schemas.openxmlformats.org/officeDocument/2006/relationships" r:id="rId2" tooltip="Saiba mais sobre as novidades do Excel na Web"/>
          <a:extLst>
            <a:ext uri="{FF2B5EF4-FFF2-40B4-BE49-F238E27FC236}">
              <a16:creationId xmlns:a16="http://schemas.microsoft.com/office/drawing/2014/main" id="{C26483B0-64DC-4BE9-92D8-7D9943F8404A}"/>
            </a:ext>
          </a:extLst>
        </xdr:cNvPr>
        <xdr:cNvGrpSpPr/>
      </xdr:nvGrpSpPr>
      <xdr:grpSpPr>
        <a:xfrm>
          <a:off x="4359198" y="2860962"/>
          <a:ext cx="974505" cy="786961"/>
          <a:chOff x="6717588" y="3592566"/>
          <a:chExt cx="974505" cy="786961"/>
        </a:xfrm>
      </xdr:grpSpPr>
      <xdr:pic>
        <xdr:nvPicPr>
          <xdr:cNvPr id="6" name="Imagem 5" descr="Jornal">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73201" y="3769928"/>
            <a:ext cx="669283" cy="609599"/>
          </a:xfrm>
          <a:prstGeom prst="rect">
            <a:avLst/>
          </a:prstGeom>
        </xdr:spPr>
      </xdr:pic>
      <xdr:grpSp>
        <xdr:nvGrpSpPr>
          <xdr:cNvPr id="7" name="Grupo 6" descr="Linhas a irradiar">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Conexão Reta 7" descr="Linha">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Conexão Reta 8" descr="Linha">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exão Reta 9" descr="Linha">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exão Reta 10" descr="Linha">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xão Reta 11" descr="Linha">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Formacao\Excel%20N1\Curso%20Excel%20N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WINDOWS\Desktop\Documentos%20da%20Micro\Celia\Pasta%20de%20Exercicios%20da%20C&#233;lia\EXCEL\DIVERS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Formacao\Excel\Excel%202\Excel%203&#170;%20seman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WINDOWS\Desktop\Documentos%20da%20Micro\Celia\Pasta%20de%20Exercicios%20da%20C&#233;lia\EXCEL\EXERCICIOS%20DAS%20AULAS%20DE%20EXC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dos Exercicios"/>
      <sheetName val="FolhaSalarialJulho"/>
      <sheetName val="FolhaSalarialAgosto"/>
      <sheetName val="Listas"/>
      <sheetName val="Despesas Mensais"/>
      <sheetName val="Livraria"/>
      <sheetName val="Formatacao numeros"/>
      <sheetName val="Constantes DM"/>
      <sheetName val="Pauta Alunos"/>
      <sheetName val="Tabelas de Verdade"/>
      <sheetName val="Gráficos"/>
      <sheetName val="Nome de Blocos"/>
      <sheetName val="Funco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
          <cell r="B2">
            <v>1</v>
          </cell>
          <cell r="C2">
            <v>2</v>
          </cell>
          <cell r="D2">
            <v>4</v>
          </cell>
          <cell r="E2">
            <v>7</v>
          </cell>
        </row>
        <row r="4">
          <cell r="B4">
            <v>12</v>
          </cell>
          <cell r="C4">
            <v>15</v>
          </cell>
          <cell r="D4">
            <v>14</v>
          </cell>
        </row>
        <row r="5">
          <cell r="B5">
            <v>15</v>
          </cell>
          <cell r="C5">
            <v>13</v>
          </cell>
          <cell r="D5">
            <v>15</v>
          </cell>
        </row>
        <row r="6">
          <cell r="B6">
            <v>10</v>
          </cell>
          <cell r="C6">
            <v>11</v>
          </cell>
          <cell r="D6">
            <v>12</v>
          </cell>
        </row>
        <row r="7">
          <cell r="B7">
            <v>14</v>
          </cell>
          <cell r="C7">
            <v>14</v>
          </cell>
          <cell r="D7">
            <v>15</v>
          </cell>
        </row>
        <row r="8">
          <cell r="B8">
            <v>15</v>
          </cell>
          <cell r="C8">
            <v>16</v>
          </cell>
          <cell r="D8">
            <v>17</v>
          </cell>
        </row>
        <row r="9">
          <cell r="B9">
            <v>16</v>
          </cell>
          <cell r="C9">
            <v>17</v>
          </cell>
          <cell r="D9">
            <v>17</v>
          </cell>
        </row>
        <row r="10">
          <cell r="B10">
            <v>10</v>
          </cell>
          <cell r="C10">
            <v>11</v>
          </cell>
          <cell r="D10">
            <v>12</v>
          </cell>
        </row>
      </sheetData>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s dos alunos"/>
      <sheetName val="MÉDIAS"/>
      <sheetName val="TELEMÓVEIS"/>
      <sheetName val="Funcionários"/>
      <sheetName val="lucros - TERMINAR"/>
      <sheetName val="orçamento"/>
      <sheetName val="num dias"/>
      <sheetName val="C_STOCKS"/>
      <sheetName val="NOTAS ( BASE DE DADOS ) (3)"/>
      <sheetName val="EXERCÍCIO DE EXCEL"/>
      <sheetName val="C_Extract2"/>
      <sheetName val="C_Letras"/>
      <sheetName val="NOTAS ( BASE DE DADOS ) (2)"/>
      <sheetName val="index-match"/>
      <sheetName val="NOTAS ( BASE DE DADOS )"/>
      <sheetName val="ANALISE DE VENDAS"/>
      <sheetName val="FUNÇÃO &amp; GRÁFICO"/>
      <sheetName val="RECIBO DOS FUNCIONÁRIOS - 4 pp"/>
      <sheetName val="RECIBO DOS FUNCIONÁRIOS - 2 pp"/>
      <sheetName val="telelés"/>
      <sheetName val="ORCAMENTO-arrumar"/>
      <sheetName val="CONTROLO DE PRODUTOS-arrumar"/>
      <sheetName val="Sheet1 (2)"/>
      <sheetName val="Cursode Informática"/>
      <sheetName val="Folhas de stocks"/>
      <sheetName val="Super mercado preço leve"/>
      <sheetName val="Marcas"/>
      <sheetName val="Controlo de Aéroporto"/>
      <sheetName val="TP-DOIS"/>
      <sheetName val="COMPARAÇÃO DE PREÇOS"/>
      <sheetName val="VARELA E FILHOS, LDA"/>
      <sheetName val="TABELA INDIVIDUAL DE VOOS"/>
      <sheetName val="Ginasio sempre em Forma"/>
      <sheetName val="Multas"/>
      <sheetName val="Livraria dos poetas mortos"/>
      <sheetName val="Factura"/>
      <sheetName val="Folha16"/>
      <sheetName val="Receitas"/>
      <sheetName val="Recursos Humanos"/>
      <sheetName val="Volume de Vendas"/>
      <sheetName val="Contas do Mês"/>
      <sheetName val="Vendas número 1"/>
      <sheetName val="Folha8"/>
      <sheetName val="Folha9"/>
      <sheetName val="Notas Turma"/>
      <sheetName val="Ginásio Sempre em Forma"/>
      <sheetName val="Folha11"/>
      <sheetName val="Folha10"/>
      <sheetName val="Folha7"/>
      <sheetName val="Folha6"/>
      <sheetName val="Folha5"/>
      <sheetName val="Folha2"/>
      <sheetName val="Folha1"/>
      <sheetName val="Stand OS BORLÕES"/>
      <sheetName val="vou aqu- -&gt;Recibos"/>
      <sheetName val="telemoveis"/>
      <sheetName val="Salários dos Funcionár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6">
          <cell r="B26" t="str">
            <v>NOME DO ALUNO</v>
          </cell>
          <cell r="C26" t="str">
            <v>INTRODUÇÃO</v>
          </cell>
          <cell r="D26" t="str">
            <v>DOS</v>
          </cell>
          <cell r="E26" t="str">
            <v>WINDOWS</v>
          </cell>
          <cell r="F26" t="str">
            <v>WINWORD</v>
          </cell>
          <cell r="G26" t="str">
            <v>EXCEL</v>
          </cell>
          <cell r="H26" t="str">
            <v>ACCESS</v>
          </cell>
          <cell r="I26" t="str">
            <v>MÉDIA FINAL</v>
          </cell>
          <cell r="J26" t="str">
            <v>APROVEITAMENTO</v>
          </cell>
        </row>
        <row r="27">
          <cell r="G27" t="str">
            <v>&gt;=17</v>
          </cell>
          <cell r="I27" t="str">
            <v>&gt;=15</v>
          </cell>
        </row>
        <row r="33">
          <cell r="B33" t="str">
            <v>NOME DO ALUNO</v>
          </cell>
          <cell r="C33" t="str">
            <v>INTRODUÇÃO</v>
          </cell>
          <cell r="D33" t="str">
            <v>DOS</v>
          </cell>
          <cell r="E33" t="str">
            <v>WINDOWS</v>
          </cell>
          <cell r="F33" t="str">
            <v>WINWORD</v>
          </cell>
          <cell r="G33" t="str">
            <v>EXCEL</v>
          </cell>
          <cell r="H33" t="str">
            <v>ACCESS</v>
          </cell>
          <cell r="I33" t="str">
            <v>MÉDIA FINAL</v>
          </cell>
          <cell r="J33" t="str">
            <v>APROVEITAMENTO</v>
          </cell>
        </row>
        <row r="34">
          <cell r="B34" t="str">
            <v>Paulo Alberto</v>
          </cell>
          <cell r="C34">
            <v>15</v>
          </cell>
          <cell r="D34">
            <v>15</v>
          </cell>
          <cell r="E34">
            <v>15</v>
          </cell>
          <cell r="F34">
            <v>18</v>
          </cell>
          <cell r="G34">
            <v>17</v>
          </cell>
          <cell r="H34">
            <v>16</v>
          </cell>
          <cell r="I34">
            <v>16</v>
          </cell>
          <cell r="J34" t="str">
            <v>APROVADO</v>
          </cell>
        </row>
        <row r="35">
          <cell r="B35" t="str">
            <v>Jorge Martins</v>
          </cell>
          <cell r="C35">
            <v>19</v>
          </cell>
          <cell r="D35">
            <v>19</v>
          </cell>
          <cell r="E35">
            <v>19</v>
          </cell>
          <cell r="F35">
            <v>18</v>
          </cell>
          <cell r="G35">
            <v>19</v>
          </cell>
          <cell r="H35">
            <v>18</v>
          </cell>
          <cell r="I35">
            <v>18.666666666666668</v>
          </cell>
          <cell r="J35" t="str">
            <v>APROVADO</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de Funções"/>
      <sheetName val="Planner"/>
      <sheetName val="Exerc 1"/>
      <sheetName val="Funções Financeiras"/>
      <sheetName val="Funções Proc e Ref"/>
      <sheetName val="R. Proc. e REf."/>
      <sheetName val="BaseFact"/>
      <sheetName val="Exerc 2"/>
      <sheetName val="Revisão pgto"/>
    </sheetNames>
    <sheetDataSet>
      <sheetData sheetId="0"/>
      <sheetData sheetId="1"/>
      <sheetData sheetId="2"/>
      <sheetData sheetId="3"/>
      <sheetData sheetId="4"/>
      <sheetData sheetId="5"/>
      <sheetData sheetId="6">
        <row r="2">
          <cell r="A2">
            <v>1</v>
          </cell>
          <cell r="C2" t="str">
            <v>Rua A</v>
          </cell>
          <cell r="D2" t="str">
            <v>1000-101</v>
          </cell>
          <cell r="E2" t="str">
            <v>Lisboa</v>
          </cell>
          <cell r="F2">
            <v>502122122</v>
          </cell>
        </row>
        <row r="3">
          <cell r="A3">
            <v>2</v>
          </cell>
          <cell r="C3" t="str">
            <v>Av B</v>
          </cell>
          <cell r="D3" t="str">
            <v>1200-145</v>
          </cell>
          <cell r="E3" t="str">
            <v>Lisboa</v>
          </cell>
          <cell r="F3">
            <v>506325256</v>
          </cell>
        </row>
        <row r="4">
          <cell r="A4">
            <v>3</v>
          </cell>
          <cell r="C4" t="str">
            <v>Prct J</v>
          </cell>
          <cell r="D4" t="str">
            <v>1300-145</v>
          </cell>
          <cell r="E4" t="str">
            <v>Lisboa</v>
          </cell>
          <cell r="F4">
            <v>506124411</v>
          </cell>
        </row>
        <row r="5">
          <cell r="A5">
            <v>4</v>
          </cell>
          <cell r="C5" t="str">
            <v>Av U</v>
          </cell>
          <cell r="D5" t="str">
            <v>4000-123</v>
          </cell>
          <cell r="E5" t="str">
            <v>Porto</v>
          </cell>
          <cell r="F5">
            <v>500121788</v>
          </cell>
        </row>
        <row r="6">
          <cell r="A6">
            <v>5</v>
          </cell>
          <cell r="C6" t="str">
            <v>Rua P</v>
          </cell>
          <cell r="D6" t="str">
            <v>3200-100</v>
          </cell>
          <cell r="E6" t="str">
            <v>Coimbra</v>
          </cell>
          <cell r="F6">
            <v>500969896</v>
          </cell>
        </row>
        <row r="7">
          <cell r="A7">
            <v>6</v>
          </cell>
          <cell r="C7" t="str">
            <v>Rua T</v>
          </cell>
          <cell r="D7" t="str">
            <v>2800-100</v>
          </cell>
          <cell r="E7" t="str">
            <v>Almada</v>
          </cell>
          <cell r="F7">
            <v>501789987</v>
          </cell>
        </row>
        <row r="8">
          <cell r="A8">
            <v>7</v>
          </cell>
          <cell r="C8" t="str">
            <v>Av G</v>
          </cell>
          <cell r="D8" t="str">
            <v>1852-121</v>
          </cell>
          <cell r="E8" t="str">
            <v>Lisboa</v>
          </cell>
          <cell r="F8">
            <v>501569999</v>
          </cell>
        </row>
        <row r="9">
          <cell r="A9">
            <v>8</v>
          </cell>
          <cell r="C9" t="str">
            <v>Av o</v>
          </cell>
          <cell r="D9" t="str">
            <v>1900-420</v>
          </cell>
          <cell r="E9" t="str">
            <v>Lisboa</v>
          </cell>
          <cell r="F9">
            <v>502788114</v>
          </cell>
        </row>
      </sheetData>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rcício 1 - Volvendas"/>
      <sheetName val="Exercício 2 - Notas"/>
      <sheetName val="Exercício Extra1 - Volvendas2"/>
      <sheetName val="Extra 2 - Factura"/>
      <sheetName val="Exercício 3 - Stocks Eurotools"/>
      <sheetName val="Exercício 4 - Receitas-Despesas"/>
      <sheetName val="Exercício 5 - Vendas Eurotools"/>
      <sheetName val="Exercício 6 - Vendas 1994"/>
      <sheetName val="Extra 3 - FOLHA DE VENDAS"/>
      <sheetName val="Extra 4 - Despesas Mensais"/>
      <sheetName val="Exercício 7 - Vendas Hardware"/>
      <sheetName val="Exercício 8 - Recursos Humanos"/>
      <sheetName val="Exercício 9 - FÉRIAS"/>
      <sheetName val="Exercício 10 - Descontos"/>
      <sheetName val="Exercício 11 - CURSOS"/>
      <sheetName val="Exercício 12 - Telefones"/>
      <sheetName val="Exercício 13 - FACTURAÇÃO"/>
      <sheetName val="Exercício 14 - Ordenados"/>
      <sheetName val="Exercício 15 - Ginásio"/>
      <sheetName val="Exercício 16 - EDITORAS"/>
      <sheetName val="Exercício 18 - regiõ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ow r="9">
          <cell r="E9" t="str">
            <v>tabela de comissões</v>
          </cell>
        </row>
        <row r="10">
          <cell r="E10">
            <v>150000</v>
          </cell>
          <cell r="F10">
            <v>0.03</v>
          </cell>
        </row>
        <row r="11">
          <cell r="E11">
            <v>250000</v>
          </cell>
          <cell r="F11">
            <v>0.05</v>
          </cell>
        </row>
        <row r="12">
          <cell r="E12">
            <v>350000</v>
          </cell>
          <cell r="F12">
            <v>7.0000000000000007E-2</v>
          </cell>
        </row>
        <row r="13">
          <cell r="E13">
            <v>400000</v>
          </cell>
          <cell r="F13">
            <v>0.1</v>
          </cell>
        </row>
      </sheetData>
      <sheetData sheetId="18" refreshError="1"/>
      <sheetData sheetId="19" refreshError="1"/>
      <sheetData sheetId="2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ta" displayName="tbl_Fruta" ref="Z2:Z6" totalsRowShown="0" headerRowDxfId="14" dataDxfId="13">
  <autoFilter ref="Z2:Z6" xr:uid="{00000000-0009-0000-0100-000001000000}"/>
  <tableColumns count="1">
    <tableColumn id="1" xr3:uid="{00000000-0010-0000-0000-000001000000}" name="Fruta" dataDxfId="12" dataCellStyle="CélulaCinzent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VariedadeDeFruta" displayName="tbl_VariedadeDeFruta" ref="AB2:AB4" totalsRowShown="0" headerRowDxfId="11" dataDxfId="10">
  <autoFilter ref="AB2:AB4" xr:uid="{00000000-0009-0000-0100-000002000000}"/>
  <tableColumns count="1">
    <tableColumn id="1" xr3:uid="{00000000-0010-0000-0100-000001000000}" name="Maçãs" dataDxfId="9" dataCellStyle="CélulaCinzent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VariedadeDeFruta4" displayName="tbl_VariedadeDeFruta4" ref="AD2:AD4" totalsRowShown="0" headerRowDxfId="8" dataDxfId="7">
  <autoFilter ref="AD2:AD4" xr:uid="{00000000-0009-0000-0100-000003000000}"/>
  <tableColumns count="1">
    <tableColumn id="1" xr3:uid="{00000000-0010-0000-0200-000001000000}" name="Laranjas" dataDxfId="6" dataCellStyle="CélulaCinzent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VariedadeDeFruta5" displayName="tbl_VariedadeDeFruta5" ref="AH2:AH4" totalsRowShown="0" headerRowDxfId="5" dataDxfId="4">
  <autoFilter ref="AH2:AH4" xr:uid="{00000000-0009-0000-0100-000004000000}"/>
  <tableColumns count="1">
    <tableColumn id="1" xr3:uid="{00000000-0010-0000-0300-000001000000}" name="Limões" dataDxfId="3" dataCellStyle="CélulaCinzent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VariedadeDeFruta6" displayName="tbl_VariedadeDeFruta6" ref="AF2:AF4" totalsRowShown="0" headerRowDxfId="2" dataDxfId="1">
  <autoFilter ref="AF2:AF4" xr:uid="{00000000-0009-0000-0100-000005000000}"/>
  <tableColumns count="1">
    <tableColumn id="1" xr3:uid="{00000000-0010-0000-0400-000001000000}" name="Bananas" dataDxfId="0" dataCellStyle="CélulaCinzenta"/>
  </tableColumns>
  <tableStyleInfo name="TableStyleMedium2"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1.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support.office.com/pt-PT/article/what-s-new-in-excel-for-office-365-5fdb9208-ff33-45b6-9e08-1f5cdb3a6c73?ui=pt-PT&amp;rs=en-001&amp;ad=us" TargetMode="External"/><Relationship Id="rId1" Type="http://schemas.openxmlformats.org/officeDocument/2006/relationships/hyperlink" Target="https://techcommunity.microsoft.com/t5/excel/ct-p/excel_cat" TargetMode="External"/><Relationship Id="rId4"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fitToPage="1"/>
  </sheetPr>
  <dimension ref="A1:D8"/>
  <sheetViews>
    <sheetView showGridLines="0" showRowColHeaders="0" tabSelected="1" view="pageBreakPreview" zoomScaleNormal="100" zoomScaleSheetLayoutView="100" workbookViewId="0">
      <selection activeCell="I16" sqref="I16"/>
    </sheetView>
  </sheetViews>
  <sheetFormatPr defaultColWidth="11.109375" defaultRowHeight="20.25" customHeight="1" x14ac:dyDescent="0.3"/>
  <cols>
    <col min="1" max="1" width="129.6640625" style="1" customWidth="1"/>
    <col min="2" max="2" width="3.5546875" style="1" customWidth="1"/>
    <col min="3" max="16384" width="11.109375" style="1"/>
  </cols>
  <sheetData>
    <row r="1" spans="1:4" ht="20.25" customHeight="1" x14ac:dyDescent="1.55">
      <c r="A1" s="61"/>
    </row>
    <row r="2" spans="1:4" ht="102" customHeight="1" x14ac:dyDescent="1.55">
      <c r="A2" s="61" t="s">
        <v>0</v>
      </c>
    </row>
    <row r="3" spans="1:4" ht="44.4" x14ac:dyDescent="0.45">
      <c r="A3" s="2" t="s">
        <v>1</v>
      </c>
    </row>
    <row r="4" spans="1:4" ht="264" customHeight="1" x14ac:dyDescent="0.3">
      <c r="A4" s="3" t="s">
        <v>2</v>
      </c>
    </row>
    <row r="5" spans="1:4" ht="20.25" customHeight="1" x14ac:dyDescent="0.45">
      <c r="A5" s="2"/>
    </row>
    <row r="7" spans="1:4" ht="20.25" customHeight="1" x14ac:dyDescent="0.3">
      <c r="D7" s="137"/>
    </row>
    <row r="8" spans="1:4" ht="20.25" customHeight="1" x14ac:dyDescent="0.4">
      <c r="A8" s="138"/>
    </row>
  </sheetData>
  <pageMargins left="0.7" right="0.7" top="0.75" bottom="0.75" header="0.3" footer="0.3"/>
  <pageSetup paperSize="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F9650-4233-4B10-9FD1-A6AFE9D5DCC3}">
  <dimension ref="B2:AJ44"/>
  <sheetViews>
    <sheetView showGridLines="0" workbookViewId="0">
      <selection activeCell="U4" sqref="U4"/>
    </sheetView>
  </sheetViews>
  <sheetFormatPr defaultColWidth="3.44140625" defaultRowHeight="18.600000000000001" customHeight="1" x14ac:dyDescent="0.35"/>
  <cols>
    <col min="1" max="16384" width="3.44140625" style="145"/>
  </cols>
  <sheetData>
    <row r="2" spans="2:36" ht="18.600000000000001" customHeight="1" x14ac:dyDescent="0.35">
      <c r="AJ2" s="156"/>
    </row>
    <row r="3" spans="2:36" ht="18.600000000000001" customHeight="1" x14ac:dyDescent="0.35">
      <c r="D3" s="145">
        <v>1</v>
      </c>
      <c r="E3" s="145" t="s">
        <v>440</v>
      </c>
      <c r="F3" s="145">
        <v>1</v>
      </c>
      <c r="H3" s="168" t="s">
        <v>443</v>
      </c>
      <c r="I3" s="168"/>
      <c r="K3" s="145" t="s">
        <v>442</v>
      </c>
      <c r="M3" s="168" t="s">
        <v>441</v>
      </c>
      <c r="N3" s="168"/>
      <c r="O3" s="168"/>
    </row>
    <row r="5" spans="2:36" ht="18.600000000000001" customHeight="1" x14ac:dyDescent="0.35">
      <c r="D5" s="145">
        <v>1</v>
      </c>
      <c r="E5" s="145" t="s">
        <v>440</v>
      </c>
      <c r="F5" s="145">
        <v>1</v>
      </c>
      <c r="G5" s="145" t="s">
        <v>413</v>
      </c>
      <c r="H5" s="167">
        <f>1+1</f>
        <v>2</v>
      </c>
      <c r="I5" s="167"/>
      <c r="L5" s="145" t="s">
        <v>413</v>
      </c>
      <c r="M5" s="167">
        <f>D5+F5</f>
        <v>2</v>
      </c>
      <c r="N5" s="167"/>
      <c r="O5" s="167"/>
    </row>
    <row r="6" spans="2:36" ht="18.600000000000001" customHeight="1" x14ac:dyDescent="0.35">
      <c r="T6" s="147"/>
    </row>
    <row r="7" spans="2:36" ht="18.600000000000001" customHeight="1" x14ac:dyDescent="0.35">
      <c r="T7" s="147"/>
    </row>
    <row r="9" spans="2:36" ht="18.600000000000001" customHeight="1" x14ac:dyDescent="0.35">
      <c r="B9" s="166" t="s">
        <v>439</v>
      </c>
      <c r="F9" s="145" t="s">
        <v>438</v>
      </c>
      <c r="H9" s="156" t="s">
        <v>437</v>
      </c>
    </row>
    <row r="11" spans="2:36" ht="18.600000000000001" customHeight="1" x14ac:dyDescent="0.35">
      <c r="B11" s="165" t="s">
        <v>436</v>
      </c>
      <c r="K11" s="150" t="s">
        <v>435</v>
      </c>
    </row>
    <row r="12" spans="2:36" ht="18.600000000000001" customHeight="1" x14ac:dyDescent="0.35">
      <c r="E12" s="164" t="s">
        <v>431</v>
      </c>
      <c r="F12" s="164"/>
      <c r="K12" s="150" t="s">
        <v>434</v>
      </c>
    </row>
    <row r="13" spans="2:36" ht="18.600000000000001" customHeight="1" x14ac:dyDescent="0.35">
      <c r="E13" s="164"/>
      <c r="F13" s="164"/>
    </row>
    <row r="14" spans="2:36" ht="18.600000000000001" customHeight="1" x14ac:dyDescent="0.35">
      <c r="D14" s="145" t="s">
        <v>433</v>
      </c>
      <c r="F14" s="145" t="s">
        <v>432</v>
      </c>
    </row>
    <row r="15" spans="2:36" s="163" customFormat="1" ht="18.600000000000001" customHeight="1" x14ac:dyDescent="0.5">
      <c r="C15" s="162"/>
      <c r="D15" s="161" t="s">
        <v>431</v>
      </c>
      <c r="F15" s="161" t="s">
        <v>431</v>
      </c>
      <c r="G15" s="162"/>
      <c r="H15" s="162"/>
      <c r="I15" s="162"/>
      <c r="J15" s="162"/>
      <c r="K15" s="162"/>
      <c r="L15" s="162"/>
    </row>
    <row r="16" spans="2:36" ht="18.600000000000001" customHeight="1" x14ac:dyDescent="0.5">
      <c r="D16" s="161"/>
      <c r="E16" s="162"/>
      <c r="F16" s="161"/>
    </row>
    <row r="17" spans="2:17" ht="18.600000000000001" customHeight="1" x14ac:dyDescent="0.35">
      <c r="D17" s="145" t="s">
        <v>423</v>
      </c>
      <c r="F17" s="145">
        <v>1</v>
      </c>
    </row>
    <row r="20" spans="2:17" ht="18.600000000000001" customHeight="1" x14ac:dyDescent="0.35">
      <c r="B20" s="158" t="s">
        <v>428</v>
      </c>
      <c r="C20" s="157" t="s">
        <v>430</v>
      </c>
      <c r="D20" s="158"/>
      <c r="E20" s="158"/>
      <c r="F20" s="158"/>
      <c r="G20" s="158"/>
      <c r="H20" s="158"/>
      <c r="I20" s="158"/>
      <c r="J20" s="158"/>
      <c r="K20" s="158"/>
      <c r="L20" s="158"/>
      <c r="M20" s="158"/>
      <c r="N20" s="157" t="s">
        <v>429</v>
      </c>
    </row>
    <row r="21" spans="2:17" ht="18.600000000000001" customHeight="1" x14ac:dyDescent="0.35">
      <c r="B21" s="158"/>
      <c r="C21" s="160"/>
      <c r="D21" s="158"/>
      <c r="E21" s="158"/>
      <c r="F21" s="158"/>
      <c r="G21" s="158"/>
      <c r="H21" s="158"/>
      <c r="I21" s="158"/>
      <c r="J21" s="158"/>
      <c r="K21" s="158"/>
      <c r="L21" s="158"/>
      <c r="M21" s="158"/>
      <c r="N21" s="158"/>
    </row>
    <row r="22" spans="2:17" ht="18.600000000000001" customHeight="1" x14ac:dyDescent="0.35">
      <c r="B22" s="158" t="s">
        <v>428</v>
      </c>
      <c r="C22" s="159" t="s">
        <v>427</v>
      </c>
      <c r="D22" s="158"/>
      <c r="E22" s="158"/>
      <c r="F22" s="158"/>
      <c r="G22" s="158"/>
      <c r="H22" s="158"/>
      <c r="I22" s="158"/>
      <c r="J22" s="158"/>
      <c r="K22" s="158"/>
      <c r="L22" s="158"/>
      <c r="M22" s="158"/>
      <c r="N22" s="158"/>
      <c r="Q22" s="157" t="s">
        <v>426</v>
      </c>
    </row>
    <row r="23" spans="2:17" ht="18.600000000000001" customHeight="1" x14ac:dyDescent="0.35">
      <c r="Q23" s="156" t="s">
        <v>425</v>
      </c>
    </row>
    <row r="26" spans="2:17" ht="18.600000000000001" customHeight="1" x14ac:dyDescent="0.35">
      <c r="C26" s="155" t="s">
        <v>424</v>
      </c>
    </row>
    <row r="27" spans="2:17" ht="18.600000000000001" customHeight="1" x14ac:dyDescent="0.35">
      <c r="C27" s="150"/>
    </row>
    <row r="28" spans="2:17" ht="18.600000000000001" customHeight="1" x14ac:dyDescent="0.35">
      <c r="C28" s="145" t="s">
        <v>413</v>
      </c>
      <c r="E28" s="145" t="s">
        <v>423</v>
      </c>
      <c r="G28" s="145">
        <v>1</v>
      </c>
      <c r="J28" s="145" t="str">
        <f>CONCATENATE(C28,D28,E28,F28,G28)</f>
        <v>=A1</v>
      </c>
    </row>
    <row r="29" spans="2:17" ht="18.600000000000001" customHeight="1" x14ac:dyDescent="0.35">
      <c r="J29" s="145">
        <f>$B$1</f>
        <v>0</v>
      </c>
    </row>
    <row r="31" spans="2:17" ht="18.600000000000001" customHeight="1" x14ac:dyDescent="0.35">
      <c r="C31" s="154" t="s">
        <v>422</v>
      </c>
      <c r="D31" s="153"/>
      <c r="E31" s="153"/>
      <c r="F31" s="153"/>
      <c r="G31" s="153"/>
    </row>
    <row r="32" spans="2:17" ht="18.600000000000001" customHeight="1" x14ac:dyDescent="0.35">
      <c r="C32" s="147"/>
    </row>
    <row r="33" spans="3:9" ht="18.600000000000001" customHeight="1" x14ac:dyDescent="0.35">
      <c r="C33" s="147" t="s">
        <v>421</v>
      </c>
    </row>
    <row r="34" spans="3:9" ht="18.600000000000001" customHeight="1" x14ac:dyDescent="0.35">
      <c r="C34" s="147" t="s">
        <v>420</v>
      </c>
    </row>
    <row r="35" spans="3:9" ht="18.600000000000001" customHeight="1" x14ac:dyDescent="0.35">
      <c r="C35" s="150"/>
    </row>
    <row r="36" spans="3:9" ht="18.600000000000001" customHeight="1" x14ac:dyDescent="0.35">
      <c r="C36" s="152" t="s">
        <v>419</v>
      </c>
      <c r="D36" s="151"/>
      <c r="E36" s="151"/>
      <c r="F36" s="151"/>
      <c r="G36" s="151"/>
      <c r="H36" s="151"/>
    </row>
    <row r="37" spans="3:9" ht="18.600000000000001" customHeight="1" x14ac:dyDescent="0.35">
      <c r="C37" s="147"/>
    </row>
    <row r="38" spans="3:9" ht="18.600000000000001" customHeight="1" x14ac:dyDescent="0.35">
      <c r="C38" s="147" t="s">
        <v>418</v>
      </c>
    </row>
    <row r="39" spans="3:9" ht="18.600000000000001" customHeight="1" x14ac:dyDescent="0.35">
      <c r="C39" s="147" t="s">
        <v>417</v>
      </c>
    </row>
    <row r="40" spans="3:9" ht="18.600000000000001" customHeight="1" x14ac:dyDescent="0.35">
      <c r="C40" s="150"/>
    </row>
    <row r="41" spans="3:9" ht="18.600000000000001" customHeight="1" x14ac:dyDescent="0.35">
      <c r="C41" s="149" t="s">
        <v>416</v>
      </c>
      <c r="D41" s="148"/>
      <c r="E41" s="148"/>
      <c r="F41" s="148"/>
      <c r="G41" s="148"/>
      <c r="H41" s="148"/>
      <c r="I41" s="148"/>
    </row>
    <row r="42" spans="3:9" ht="18.600000000000001" customHeight="1" x14ac:dyDescent="0.35">
      <c r="C42" s="147"/>
    </row>
    <row r="43" spans="3:9" ht="18.600000000000001" customHeight="1" x14ac:dyDescent="0.35">
      <c r="C43" s="146" t="s">
        <v>415</v>
      </c>
    </row>
    <row r="44" spans="3:9" ht="18.600000000000001" customHeight="1" x14ac:dyDescent="0.35">
      <c r="C44" s="146" t="s">
        <v>414</v>
      </c>
    </row>
  </sheetData>
  <mergeCells count="7">
    <mergeCell ref="H3:I3"/>
    <mergeCell ref="M3:O3"/>
    <mergeCell ref="H5:I5"/>
    <mergeCell ref="M5:O5"/>
    <mergeCell ref="D15:D16"/>
    <mergeCell ref="F15:F16"/>
    <mergeCell ref="E12:F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pageSetUpPr fitToPage="1"/>
  </sheetPr>
  <dimension ref="A1:XFD1048576"/>
  <sheetViews>
    <sheetView showGridLines="0" view="pageBreakPreview" topLeftCell="A40" zoomScaleNormal="100" zoomScaleSheetLayoutView="100" workbookViewId="0">
      <selection activeCell="I16" sqref="I16"/>
    </sheetView>
  </sheetViews>
  <sheetFormatPr defaultColWidth="9.109375" defaultRowHeight="14.4" x14ac:dyDescent="0.3"/>
  <cols>
    <col min="1" max="1" width="12.6640625" style="25" customWidth="1"/>
    <col min="2" max="2" width="82.88671875" style="21" customWidth="1"/>
    <col min="3" max="3" width="18" style="21" bestFit="1" customWidth="1"/>
    <col min="4" max="4" width="2.33203125" style="21" customWidth="1"/>
    <col min="5" max="5" width="18" style="21" bestFit="1" customWidth="1"/>
    <col min="6" max="6" width="15.6640625" style="21" customWidth="1"/>
    <col min="7" max="7" width="13.33203125" style="21" customWidth="1"/>
    <col min="8" max="10" width="9.109375" style="21"/>
    <col min="11" max="11" width="9.109375" style="21" customWidth="1"/>
    <col min="12" max="16384" width="9.109375" style="21"/>
  </cols>
  <sheetData>
    <row r="1" spans="1:15" ht="60" customHeight="1" x14ac:dyDescent="0.3">
      <c r="A1" s="25" t="s">
        <v>3</v>
      </c>
      <c r="C1" s="65"/>
      <c r="D1" s="66"/>
      <c r="E1" s="66"/>
      <c r="F1" s="66"/>
    </row>
    <row r="2" spans="1:15" ht="15" thickBot="1" x14ac:dyDescent="0.35">
      <c r="A2" s="25" t="s">
        <v>4</v>
      </c>
      <c r="C2" s="67" t="s">
        <v>31</v>
      </c>
      <c r="E2" s="7" t="s">
        <v>32</v>
      </c>
      <c r="F2" s="8" t="s">
        <v>38</v>
      </c>
      <c r="G2" s="8" t="s">
        <v>39</v>
      </c>
    </row>
    <row r="3" spans="1:15" ht="15.6" thickTop="1" thickBot="1" x14ac:dyDescent="0.35">
      <c r="A3" s="25" t="s">
        <v>5</v>
      </c>
      <c r="C3" s="83">
        <v>1</v>
      </c>
      <c r="E3" s="96" t="s">
        <v>33</v>
      </c>
      <c r="F3" s="95">
        <f>C3+C4</f>
        <v>3</v>
      </c>
      <c r="G3" s="97">
        <f>C3+C4</f>
        <v>3</v>
      </c>
    </row>
    <row r="4" spans="1:15" ht="15.6" thickTop="1" thickBot="1" x14ac:dyDescent="0.35">
      <c r="A4" s="25" t="s">
        <v>6</v>
      </c>
      <c r="C4" s="83">
        <v>2</v>
      </c>
      <c r="E4" s="96" t="s">
        <v>34</v>
      </c>
      <c r="F4" s="95">
        <f>$C$3-$C$4</f>
        <v>-1</v>
      </c>
      <c r="G4" s="97">
        <f>C3-C4</f>
        <v>-1</v>
      </c>
      <c r="N4" s="95">
        <f>K4+K5</f>
        <v>0</v>
      </c>
      <c r="O4" s="95">
        <f>$C$3-$C$4</f>
        <v>-1</v>
      </c>
    </row>
    <row r="5" spans="1:15" ht="15" thickTop="1" x14ac:dyDescent="0.3">
      <c r="A5" s="25" t="s">
        <v>7</v>
      </c>
      <c r="E5" s="96" t="s">
        <v>35</v>
      </c>
      <c r="F5" s="95">
        <f>$C$3*$C$4</f>
        <v>2</v>
      </c>
      <c r="G5" s="97">
        <f>C3*C4</f>
        <v>2</v>
      </c>
    </row>
    <row r="6" spans="1:15" ht="15" thickBot="1" x14ac:dyDescent="0.35">
      <c r="A6" s="25" t="s">
        <v>8</v>
      </c>
      <c r="E6" s="96" t="s">
        <v>36</v>
      </c>
      <c r="F6" s="95">
        <f>$C$3/$C$4</f>
        <v>0.5</v>
      </c>
      <c r="G6" s="97">
        <f>C3/C4</f>
        <v>0.5</v>
      </c>
      <c r="I6" s="21">
        <f>SUM(F3:F7)</f>
        <v>5.5</v>
      </c>
    </row>
    <row r="7" spans="1:15" ht="15" customHeight="1" thickTop="1" thickBot="1" x14ac:dyDescent="0.35">
      <c r="A7" s="25" t="s">
        <v>9</v>
      </c>
      <c r="E7" s="96" t="s">
        <v>37</v>
      </c>
      <c r="F7" s="98">
        <f>C3^C4</f>
        <v>1</v>
      </c>
      <c r="G7" s="97">
        <f>C3^C4</f>
        <v>1</v>
      </c>
      <c r="I7" s="21">
        <f>SUM(F3:F7,C3)</f>
        <v>6.5</v>
      </c>
    </row>
    <row r="8" spans="1:15" ht="15" thickTop="1" x14ac:dyDescent="0.3">
      <c r="A8" s="25" t="s">
        <v>10</v>
      </c>
    </row>
    <row r="9" spans="1:15" x14ac:dyDescent="0.3">
      <c r="A9" s="25" t="s">
        <v>11</v>
      </c>
    </row>
    <row r="10" spans="1:15" x14ac:dyDescent="0.3">
      <c r="A10" s="25" t="s">
        <v>12</v>
      </c>
    </row>
    <row r="11" spans="1:15" x14ac:dyDescent="0.3">
      <c r="A11" s="25" t="s">
        <v>13</v>
      </c>
    </row>
    <row r="12" spans="1:15" x14ac:dyDescent="0.3">
      <c r="A12" s="25" t="s">
        <v>14</v>
      </c>
    </row>
    <row r="13" spans="1:15" ht="15" customHeight="1" x14ac:dyDescent="0.3">
      <c r="A13" s="27" t="s">
        <v>15</v>
      </c>
    </row>
    <row r="14" spans="1:15" x14ac:dyDescent="0.3">
      <c r="A14" s="25" t="s">
        <v>16</v>
      </c>
    </row>
    <row r="15" spans="1:15" x14ac:dyDescent="0.3">
      <c r="A15" s="25" t="s">
        <v>17</v>
      </c>
    </row>
    <row r="16" spans="1:15" x14ac:dyDescent="0.3">
      <c r="A16" s="25" t="s">
        <v>18</v>
      </c>
    </row>
    <row r="17" spans="1:7" x14ac:dyDescent="0.3">
      <c r="A17" s="25" t="s">
        <v>19</v>
      </c>
    </row>
    <row r="18" spans="1:7" x14ac:dyDescent="0.3">
      <c r="A18" s="25" t="s">
        <v>300</v>
      </c>
    </row>
    <row r="19" spans="1:7" x14ac:dyDescent="0.3">
      <c r="A19" s="25" t="s">
        <v>20</v>
      </c>
    </row>
    <row r="20" spans="1:7" x14ac:dyDescent="0.3">
      <c r="A20" s="25" t="s">
        <v>21</v>
      </c>
    </row>
    <row r="21" spans="1:7" ht="15" customHeight="1" x14ac:dyDescent="0.3">
      <c r="A21" s="27" t="s">
        <v>22</v>
      </c>
    </row>
    <row r="22" spans="1:7" x14ac:dyDescent="0.3">
      <c r="A22" s="25" t="s">
        <v>23</v>
      </c>
    </row>
    <row r="23" spans="1:7" x14ac:dyDescent="0.3">
      <c r="A23" s="25" t="s">
        <v>24</v>
      </c>
    </row>
    <row r="24" spans="1:7" x14ac:dyDescent="0.3">
      <c r="A24" s="25" t="s">
        <v>25</v>
      </c>
      <c r="E24" s="135"/>
    </row>
    <row r="25" spans="1:7" ht="32.4" x14ac:dyDescent="0.3">
      <c r="A25" s="25" t="s">
        <v>26</v>
      </c>
      <c r="C25" s="65"/>
      <c r="D25" s="66"/>
      <c r="E25" s="66"/>
      <c r="F25" s="66"/>
      <c r="G25" s="66"/>
    </row>
    <row r="26" spans="1:7" x14ac:dyDescent="0.3">
      <c r="A26" s="25" t="s">
        <v>27</v>
      </c>
    </row>
    <row r="27" spans="1:7" x14ac:dyDescent="0.3">
      <c r="A27" s="25" t="s">
        <v>28</v>
      </c>
    </row>
    <row r="28" spans="1:7" ht="25.8" x14ac:dyDescent="0.5">
      <c r="A28" s="25" t="s">
        <v>29</v>
      </c>
      <c r="E28" s="58"/>
    </row>
    <row r="29" spans="1:7" x14ac:dyDescent="0.3">
      <c r="A29" s="25" t="s">
        <v>30</v>
      </c>
    </row>
    <row r="40" spans="10:14" x14ac:dyDescent="0.3">
      <c r="J40" s="8" t="s">
        <v>40</v>
      </c>
    </row>
    <row r="41" spans="10:14" x14ac:dyDescent="0.3">
      <c r="J41" s="59">
        <v>4</v>
      </c>
    </row>
    <row r="42" spans="10:14" x14ac:dyDescent="0.3">
      <c r="J42" s="59">
        <v>8</v>
      </c>
    </row>
    <row r="43" spans="10:14" x14ac:dyDescent="0.3">
      <c r="J43" s="57">
        <f>SUM(J41:J42)</f>
        <v>12</v>
      </c>
      <c r="N43"/>
    </row>
    <row r="46" spans="10:14" x14ac:dyDescent="0.3">
      <c r="L46"/>
      <c r="M46"/>
    </row>
    <row r="64" spans="7:7" x14ac:dyDescent="0.3">
      <c r="G64" s="60"/>
    </row>
    <row r="65" spans="7:7" x14ac:dyDescent="0.3">
      <c r="G65" s="60"/>
    </row>
    <row r="66" spans="7:7" x14ac:dyDescent="0.3">
      <c r="G66" s="60"/>
    </row>
    <row r="67" spans="7:7" x14ac:dyDescent="0.3">
      <c r="G67" s="60"/>
    </row>
    <row r="86" ht="17.399999999999999" customHeight="1" x14ac:dyDescent="0.3"/>
    <row r="1048576" spans="16384:16384" x14ac:dyDescent="0.3">
      <c r="XFD1048576" s="95">
        <f>$C$3-$C$4</f>
        <v>-1</v>
      </c>
    </row>
  </sheetData>
  <pageMargins left="0.7" right="0.7" top="0.75" bottom="0.75" header="0.3" footer="0.3"/>
  <pageSetup paperSize="9" scale="53" fitToHeight="0" orientation="landscape" r:id="rId1"/>
  <rowBreaks count="1" manualBreakCount="1">
    <brk id="23" max="1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M51"/>
  <sheetViews>
    <sheetView showGridLines="0" view="pageBreakPreview" topLeftCell="A7" zoomScaleNormal="100" zoomScaleSheetLayoutView="100" zoomScalePageLayoutView="125" workbookViewId="0">
      <selection activeCell="I16" sqref="I16"/>
    </sheetView>
  </sheetViews>
  <sheetFormatPr defaultColWidth="8.88671875" defaultRowHeight="15" customHeight="1" x14ac:dyDescent="0.3"/>
  <cols>
    <col min="1" max="1" width="12.6640625" style="9" customWidth="1"/>
    <col min="2" max="2" width="82.88671875" style="71" customWidth="1"/>
    <col min="3" max="4" width="13.33203125" style="71" customWidth="1"/>
    <col min="5" max="5" width="2.33203125" style="71" customWidth="1"/>
    <col min="6" max="6" width="16" style="71" bestFit="1" customWidth="1"/>
    <col min="7" max="7" width="13.33203125" style="71" customWidth="1"/>
    <col min="8" max="16384" width="8.88671875" style="71"/>
  </cols>
  <sheetData>
    <row r="1" spans="1:13" ht="60" customHeight="1" x14ac:dyDescent="0.65">
      <c r="A1" s="9" t="s">
        <v>41</v>
      </c>
      <c r="B1" s="68"/>
      <c r="C1" s="69"/>
      <c r="D1" s="70"/>
      <c r="E1" s="70"/>
      <c r="F1" s="70"/>
      <c r="G1" s="70"/>
    </row>
    <row r="2" spans="1:13" ht="15" customHeight="1" x14ac:dyDescent="0.3">
      <c r="A2" s="9" t="s">
        <v>42</v>
      </c>
      <c r="C2" s="72" t="s">
        <v>57</v>
      </c>
      <c r="D2" s="73" t="s">
        <v>73</v>
      </c>
      <c r="F2" s="72" t="s">
        <v>75</v>
      </c>
      <c r="G2" s="73" t="s">
        <v>73</v>
      </c>
    </row>
    <row r="3" spans="1:13" ht="15" customHeight="1" x14ac:dyDescent="0.3">
      <c r="A3" s="36" t="s">
        <v>43</v>
      </c>
      <c r="B3" s="74"/>
      <c r="C3" s="100" t="s">
        <v>58</v>
      </c>
      <c r="D3" s="100">
        <v>50</v>
      </c>
      <c r="F3" s="100" t="s">
        <v>76</v>
      </c>
      <c r="G3" s="100">
        <v>50</v>
      </c>
    </row>
    <row r="4" spans="1:13" ht="15" customHeight="1" x14ac:dyDescent="0.3">
      <c r="A4" s="9" t="s">
        <v>44</v>
      </c>
      <c r="C4" s="100" t="s">
        <v>59</v>
      </c>
      <c r="D4" s="100">
        <v>20</v>
      </c>
      <c r="E4" s="75"/>
      <c r="F4" s="100" t="s">
        <v>77</v>
      </c>
      <c r="G4" s="100">
        <v>30</v>
      </c>
    </row>
    <row r="5" spans="1:13" s="75" customFormat="1" ht="15" customHeight="1" x14ac:dyDescent="0.3">
      <c r="A5" s="9" t="s">
        <v>45</v>
      </c>
      <c r="C5" s="100" t="s">
        <v>60</v>
      </c>
      <c r="D5" s="100">
        <v>60</v>
      </c>
      <c r="F5" s="100" t="s">
        <v>78</v>
      </c>
      <c r="G5" s="100">
        <v>10</v>
      </c>
    </row>
    <row r="6" spans="1:13" s="75" customFormat="1" ht="15" customHeight="1" x14ac:dyDescent="0.3">
      <c r="A6" s="9" t="s">
        <v>11</v>
      </c>
      <c r="B6" s="76"/>
      <c r="C6" s="100" t="s">
        <v>61</v>
      </c>
      <c r="D6" s="101">
        <v>40</v>
      </c>
      <c r="F6" s="100" t="s">
        <v>79</v>
      </c>
      <c r="G6" s="101">
        <v>50</v>
      </c>
    </row>
    <row r="7" spans="1:13" s="75" customFormat="1" ht="15" customHeight="1" x14ac:dyDescent="0.3">
      <c r="A7" s="9" t="s">
        <v>46</v>
      </c>
      <c r="C7" s="111" t="s">
        <v>62</v>
      </c>
      <c r="D7" s="102"/>
      <c r="F7" s="111" t="s">
        <v>62</v>
      </c>
      <c r="G7" s="102"/>
      <c r="M7" s="77"/>
    </row>
    <row r="8" spans="1:13" s="75" customFormat="1" ht="15" customHeight="1" x14ac:dyDescent="0.3">
      <c r="A8" s="9" t="s">
        <v>12</v>
      </c>
      <c r="M8" s="77"/>
    </row>
    <row r="9" spans="1:13" s="75" customFormat="1" ht="15" customHeight="1" x14ac:dyDescent="0.3">
      <c r="A9" s="9" t="s">
        <v>47</v>
      </c>
      <c r="C9" s="72" t="s">
        <v>63</v>
      </c>
      <c r="D9" s="73" t="s">
        <v>73</v>
      </c>
      <c r="F9" s="72" t="s">
        <v>63</v>
      </c>
      <c r="G9" s="73" t="s">
        <v>73</v>
      </c>
      <c r="M9" s="77"/>
    </row>
    <row r="10" spans="1:13" s="75" customFormat="1" ht="15" customHeight="1" x14ac:dyDescent="0.3">
      <c r="A10" s="114" t="s">
        <v>48</v>
      </c>
      <c r="C10" s="100" t="s">
        <v>64</v>
      </c>
      <c r="D10" s="100">
        <v>50</v>
      </c>
      <c r="F10" s="100" t="s">
        <v>64</v>
      </c>
      <c r="G10" s="100">
        <v>50</v>
      </c>
      <c r="I10" s="136" t="s">
        <v>413</v>
      </c>
      <c r="M10" s="77"/>
    </row>
    <row r="11" spans="1:13" s="75" customFormat="1" ht="15" customHeight="1" x14ac:dyDescent="0.3">
      <c r="A11" s="36" t="s">
        <v>49</v>
      </c>
      <c r="C11" s="100" t="s">
        <v>65</v>
      </c>
      <c r="D11" s="100">
        <v>100</v>
      </c>
      <c r="F11" s="100" t="s">
        <v>65</v>
      </c>
      <c r="G11" s="100">
        <v>100</v>
      </c>
      <c r="I11" s="136"/>
      <c r="M11" s="77"/>
    </row>
    <row r="12" spans="1:13" s="75" customFormat="1" ht="15" customHeight="1" x14ac:dyDescent="0.3">
      <c r="A12" s="9" t="s">
        <v>50</v>
      </c>
      <c r="C12" s="100" t="s">
        <v>66</v>
      </c>
      <c r="D12" s="100">
        <v>40</v>
      </c>
      <c r="F12" s="100" t="s">
        <v>66</v>
      </c>
      <c r="G12" s="100">
        <v>40</v>
      </c>
      <c r="M12" s="77"/>
    </row>
    <row r="13" spans="1:13" s="75" customFormat="1" ht="15" customHeight="1" x14ac:dyDescent="0.3">
      <c r="A13" s="9" t="s">
        <v>51</v>
      </c>
      <c r="C13" s="100" t="s">
        <v>67</v>
      </c>
      <c r="D13" s="100">
        <v>50</v>
      </c>
      <c r="F13" s="100" t="s">
        <v>67</v>
      </c>
      <c r="G13" s="100">
        <v>50</v>
      </c>
      <c r="M13" s="77"/>
    </row>
    <row r="14" spans="1:13" s="75" customFormat="1" ht="15" customHeight="1" thickBot="1" x14ac:dyDescent="0.35">
      <c r="A14" s="113" t="s">
        <v>52</v>
      </c>
      <c r="C14" s="100" t="s">
        <v>68</v>
      </c>
      <c r="D14" s="100">
        <v>20</v>
      </c>
      <c r="F14" s="100" t="s">
        <v>68</v>
      </c>
      <c r="G14" s="100">
        <v>20</v>
      </c>
      <c r="M14" s="77"/>
    </row>
    <row r="15" spans="1:13" s="75" customFormat="1" ht="15" customHeight="1" thickTop="1" thickBot="1" x14ac:dyDescent="0.35">
      <c r="A15" s="9" t="s">
        <v>25</v>
      </c>
      <c r="C15" s="111" t="s">
        <v>62</v>
      </c>
      <c r="D15" s="99"/>
      <c r="F15" s="111" t="s">
        <v>80</v>
      </c>
      <c r="G15" s="78"/>
      <c r="M15" s="77"/>
    </row>
    <row r="16" spans="1:13" s="75" customFormat="1" ht="15" customHeight="1" thickTop="1" x14ac:dyDescent="0.3">
      <c r="A16" s="9" t="s">
        <v>53</v>
      </c>
      <c r="M16" s="77"/>
    </row>
    <row r="17" spans="1:13" s="75" customFormat="1" ht="15" customHeight="1" x14ac:dyDescent="0.3">
      <c r="A17" s="9" t="s">
        <v>54</v>
      </c>
      <c r="M17" s="77"/>
    </row>
    <row r="18" spans="1:13" s="75" customFormat="1" ht="15" customHeight="1" x14ac:dyDescent="0.3">
      <c r="A18" s="9" t="s">
        <v>55</v>
      </c>
      <c r="M18" s="77"/>
    </row>
    <row r="19" spans="1:13" s="75" customFormat="1" ht="15" customHeight="1" x14ac:dyDescent="0.3">
      <c r="A19" s="9" t="s">
        <v>30</v>
      </c>
      <c r="C19" s="77"/>
      <c r="M19" s="77"/>
    </row>
    <row r="20" spans="1:13" s="75" customFormat="1" ht="15" customHeight="1" x14ac:dyDescent="0.3">
      <c r="A20" s="9" t="s">
        <v>56</v>
      </c>
      <c r="M20" s="77"/>
    </row>
    <row r="21" spans="1:13" s="75" customFormat="1" ht="15" customHeight="1" x14ac:dyDescent="0.3">
      <c r="A21" s="9" t="s">
        <v>12</v>
      </c>
      <c r="M21" s="77"/>
    </row>
    <row r="22" spans="1:13" s="75" customFormat="1" ht="15" customHeight="1" x14ac:dyDescent="0.3">
      <c r="A22" s="9"/>
      <c r="M22" s="77"/>
    </row>
    <row r="23" spans="1:13" s="75" customFormat="1" ht="15" customHeight="1" x14ac:dyDescent="0.3">
      <c r="A23" s="9"/>
    </row>
    <row r="26" spans="1:13" ht="15" customHeight="1" x14ac:dyDescent="0.3">
      <c r="H26" s="77"/>
    </row>
    <row r="29" spans="1:13" ht="15" customHeight="1" x14ac:dyDescent="0.3">
      <c r="C29" s="71">
        <f>COUNT(MÉDIA!D18)</f>
        <v>0</v>
      </c>
    </row>
    <row r="34" spans="3:7" ht="15" customHeight="1" x14ac:dyDescent="0.3">
      <c r="C34" s="72" t="s">
        <v>57</v>
      </c>
      <c r="D34" s="73" t="s">
        <v>73</v>
      </c>
    </row>
    <row r="35" spans="3:7" ht="15" customHeight="1" x14ac:dyDescent="0.3">
      <c r="C35" s="100" t="s">
        <v>58</v>
      </c>
      <c r="D35" s="100">
        <v>50</v>
      </c>
      <c r="E35" s="75"/>
    </row>
    <row r="36" spans="3:7" ht="15" customHeight="1" x14ac:dyDescent="0.3">
      <c r="C36" s="100" t="s">
        <v>59</v>
      </c>
      <c r="D36" s="100">
        <v>20</v>
      </c>
      <c r="E36" s="75"/>
    </row>
    <row r="37" spans="3:7" ht="15" customHeight="1" x14ac:dyDescent="0.3">
      <c r="C37" s="100" t="s">
        <v>60</v>
      </c>
      <c r="D37" s="100">
        <v>60</v>
      </c>
      <c r="E37" s="75"/>
    </row>
    <row r="38" spans="3:7" ht="15" customHeight="1" x14ac:dyDescent="0.3">
      <c r="C38" s="100" t="s">
        <v>61</v>
      </c>
      <c r="D38" s="100">
        <v>40</v>
      </c>
      <c r="E38" s="75"/>
    </row>
    <row r="39" spans="3:7" ht="15" customHeight="1" x14ac:dyDescent="0.3">
      <c r="C39" s="111" t="s">
        <v>62</v>
      </c>
      <c r="D39" s="99"/>
      <c r="E39" s="75"/>
      <c r="F39" s="75"/>
      <c r="G39" s="75"/>
    </row>
    <row r="44" spans="3:7" ht="15" customHeight="1" x14ac:dyDescent="0.3">
      <c r="C44" s="72" t="s">
        <v>63</v>
      </c>
      <c r="D44" s="73" t="s">
        <v>73</v>
      </c>
      <c r="E44" s="75"/>
    </row>
    <row r="45" spans="3:7" ht="15" customHeight="1" x14ac:dyDescent="0.3">
      <c r="C45" s="100" t="s">
        <v>69</v>
      </c>
      <c r="D45" s="100">
        <v>20</v>
      </c>
      <c r="E45" s="75"/>
    </row>
    <row r="46" spans="3:7" ht="15" customHeight="1" x14ac:dyDescent="0.3">
      <c r="C46" s="100" t="s">
        <v>70</v>
      </c>
      <c r="D46" s="100">
        <v>10</v>
      </c>
      <c r="E46" s="75"/>
    </row>
    <row r="47" spans="3:7" ht="15" customHeight="1" x14ac:dyDescent="0.3">
      <c r="C47" s="100" t="s">
        <v>71</v>
      </c>
      <c r="D47" s="100">
        <v>10</v>
      </c>
      <c r="E47" s="75"/>
    </row>
    <row r="48" spans="3:7" ht="15" customHeight="1" x14ac:dyDescent="0.3">
      <c r="C48" s="100" t="s">
        <v>72</v>
      </c>
      <c r="D48" s="100">
        <v>40</v>
      </c>
      <c r="E48" s="75"/>
    </row>
    <row r="50" spans="4:7" ht="15" customHeight="1" x14ac:dyDescent="0.3">
      <c r="D50" s="73" t="s">
        <v>74</v>
      </c>
      <c r="F50" s="73" t="s">
        <v>81</v>
      </c>
      <c r="G50" s="73" t="s">
        <v>82</v>
      </c>
    </row>
    <row r="51" spans="4:7" ht="15" customHeight="1" x14ac:dyDescent="0.3">
      <c r="D51" s="79"/>
      <c r="F51" s="112"/>
      <c r="G51" s="112"/>
    </row>
  </sheetData>
  <pageMargins left="0.7" right="0.7" top="0.75" bottom="0.75" header="0.3" footer="0.3"/>
  <pageSetup paperSize="9" scale="72" fitToHeight="0" orientation="landscape" r:id="rId1"/>
  <rowBreaks count="1" manualBreakCount="1">
    <brk id="25"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J46"/>
  <sheetViews>
    <sheetView showGridLines="0" view="pageBreakPreview" zoomScaleNormal="100" zoomScaleSheetLayoutView="100" workbookViewId="0">
      <selection activeCell="I16" sqref="I16"/>
    </sheetView>
  </sheetViews>
  <sheetFormatPr defaultColWidth="8.88671875" defaultRowHeight="14.4" x14ac:dyDescent="0.3"/>
  <cols>
    <col min="1" max="1" width="12.6640625" style="25" customWidth="1"/>
    <col min="2" max="2" width="82.88671875" style="1" customWidth="1"/>
    <col min="3" max="3" width="13.33203125" style="9" customWidth="1"/>
    <col min="4" max="4" width="13.33203125" style="1" customWidth="1"/>
    <col min="5" max="5" width="2.33203125" style="1" customWidth="1"/>
    <col min="6" max="6" width="13.33203125" style="4" customWidth="1"/>
    <col min="7" max="7" width="13.33203125" style="1" customWidth="1"/>
    <col min="8" max="16384" width="8.88671875" style="1"/>
  </cols>
  <sheetData>
    <row r="1" spans="1:10" ht="60" customHeight="1" x14ac:dyDescent="0.3">
      <c r="A1" s="25" t="s">
        <v>83</v>
      </c>
      <c r="B1" s="37"/>
      <c r="C1" s="69"/>
      <c r="D1" s="80"/>
      <c r="E1" s="80"/>
      <c r="F1" s="80"/>
      <c r="G1" s="80"/>
      <c r="H1" s="37"/>
      <c r="I1" s="37"/>
      <c r="J1" s="37"/>
    </row>
    <row r="2" spans="1:10" ht="15" customHeight="1" x14ac:dyDescent="0.3">
      <c r="A2" s="25" t="s">
        <v>84</v>
      </c>
      <c r="B2" s="37"/>
      <c r="C2" s="7" t="s">
        <v>57</v>
      </c>
      <c r="D2" s="8" t="s">
        <v>73</v>
      </c>
      <c r="E2" s="39"/>
      <c r="F2" s="11" t="s">
        <v>75</v>
      </c>
      <c r="G2" s="8" t="s">
        <v>73</v>
      </c>
      <c r="H2" s="37"/>
      <c r="I2" s="37"/>
      <c r="J2" s="5"/>
    </row>
    <row r="3" spans="1:10" ht="15" customHeight="1" x14ac:dyDescent="0.3">
      <c r="A3" s="25" t="s">
        <v>85</v>
      </c>
      <c r="B3" s="37"/>
      <c r="C3" s="106" t="s">
        <v>58</v>
      </c>
      <c r="D3" s="105">
        <v>50</v>
      </c>
      <c r="E3" s="39"/>
      <c r="F3" s="106" t="s">
        <v>76</v>
      </c>
      <c r="G3" s="105">
        <v>50</v>
      </c>
      <c r="H3" s="37"/>
      <c r="I3" s="37"/>
      <c r="J3" s="5"/>
    </row>
    <row r="4" spans="1:10" ht="15" customHeight="1" x14ac:dyDescent="0.3">
      <c r="A4" s="25" t="s">
        <v>86</v>
      </c>
      <c r="B4" s="37"/>
      <c r="C4" s="106" t="s">
        <v>59</v>
      </c>
      <c r="D4" s="105">
        <v>20</v>
      </c>
      <c r="E4" s="39"/>
      <c r="F4" s="106" t="s">
        <v>77</v>
      </c>
      <c r="G4" s="105">
        <v>30</v>
      </c>
      <c r="H4" s="37"/>
      <c r="I4" s="37"/>
      <c r="J4" s="5"/>
    </row>
    <row r="5" spans="1:10" s="4" customFormat="1" ht="15" customHeight="1" x14ac:dyDescent="0.3">
      <c r="A5" s="25" t="s">
        <v>87</v>
      </c>
      <c r="B5" s="38"/>
      <c r="C5" s="106" t="s">
        <v>60</v>
      </c>
      <c r="D5" s="105">
        <v>60</v>
      </c>
      <c r="E5" s="39"/>
      <c r="F5" s="106" t="s">
        <v>78</v>
      </c>
      <c r="G5" s="105">
        <v>10</v>
      </c>
      <c r="H5" s="38"/>
      <c r="I5" s="38"/>
      <c r="J5" s="5"/>
    </row>
    <row r="6" spans="1:10" s="4" customFormat="1" ht="15" customHeight="1" x14ac:dyDescent="0.3">
      <c r="A6" s="25" t="s">
        <v>88</v>
      </c>
      <c r="B6" s="38"/>
      <c r="C6" s="106" t="s">
        <v>61</v>
      </c>
      <c r="D6" s="105">
        <v>40</v>
      </c>
      <c r="E6" s="39"/>
      <c r="F6" s="106" t="s">
        <v>79</v>
      </c>
      <c r="G6" s="105">
        <v>50</v>
      </c>
      <c r="H6" s="38"/>
      <c r="I6" s="38"/>
      <c r="J6" s="5"/>
    </row>
    <row r="7" spans="1:10" s="4" customFormat="1" ht="15" customHeight="1" x14ac:dyDescent="0.3">
      <c r="A7" s="25" t="s">
        <v>89</v>
      </c>
      <c r="B7" s="38"/>
      <c r="C7" s="10" t="s">
        <v>97</v>
      </c>
      <c r="D7" s="103"/>
      <c r="E7" s="39"/>
      <c r="F7" s="10" t="s">
        <v>97</v>
      </c>
      <c r="G7" s="103"/>
      <c r="H7" s="38"/>
      <c r="I7" s="38"/>
      <c r="J7" s="5"/>
    </row>
    <row r="8" spans="1:10" s="4" customFormat="1" ht="15" customHeight="1" x14ac:dyDescent="0.3">
      <c r="A8" s="25" t="s">
        <v>90</v>
      </c>
      <c r="B8" s="38"/>
      <c r="C8" s="38"/>
      <c r="D8" s="39"/>
      <c r="E8" s="39"/>
      <c r="F8" s="38"/>
      <c r="G8" s="39"/>
      <c r="H8" s="38"/>
      <c r="I8" s="38"/>
      <c r="J8" s="5"/>
    </row>
    <row r="9" spans="1:10" s="4" customFormat="1" ht="15" customHeight="1" x14ac:dyDescent="0.3">
      <c r="A9" s="25" t="s">
        <v>91</v>
      </c>
      <c r="B9" s="38"/>
      <c r="C9" s="7" t="s">
        <v>63</v>
      </c>
      <c r="D9" s="8" t="s">
        <v>73</v>
      </c>
      <c r="E9" s="39"/>
      <c r="F9" s="11" t="s">
        <v>63</v>
      </c>
      <c r="G9" s="8" t="s">
        <v>73</v>
      </c>
      <c r="H9" s="38"/>
      <c r="I9" s="38"/>
      <c r="J9" s="5"/>
    </row>
    <row r="10" spans="1:10" s="4" customFormat="1" ht="15" customHeight="1" x14ac:dyDescent="0.3">
      <c r="A10" s="25" t="s">
        <v>92</v>
      </c>
      <c r="B10" s="38"/>
      <c r="C10" s="106" t="s">
        <v>64</v>
      </c>
      <c r="D10" s="105">
        <v>50</v>
      </c>
      <c r="E10" s="39"/>
      <c r="F10" s="106" t="s">
        <v>64</v>
      </c>
      <c r="G10" s="105">
        <v>50</v>
      </c>
      <c r="H10" s="38"/>
      <c r="I10" s="38"/>
      <c r="J10" s="5"/>
    </row>
    <row r="11" spans="1:10" s="4" customFormat="1" ht="15" customHeight="1" x14ac:dyDescent="0.3">
      <c r="A11" s="25" t="s">
        <v>93</v>
      </c>
      <c r="B11" s="38"/>
      <c r="C11" s="106" t="s">
        <v>65</v>
      </c>
      <c r="D11" s="105">
        <v>100</v>
      </c>
      <c r="E11" s="39"/>
      <c r="F11" s="106" t="s">
        <v>65</v>
      </c>
      <c r="G11" s="105">
        <v>100</v>
      </c>
      <c r="H11" s="38"/>
      <c r="I11" s="38"/>
      <c r="J11" s="5"/>
    </row>
    <row r="12" spans="1:10" s="4" customFormat="1" ht="15" customHeight="1" x14ac:dyDescent="0.3">
      <c r="A12" s="25" t="s">
        <v>94</v>
      </c>
      <c r="B12" s="38"/>
      <c r="C12" s="106" t="s">
        <v>66</v>
      </c>
      <c r="D12" s="105">
        <v>40</v>
      </c>
      <c r="E12" s="39"/>
      <c r="F12" s="106" t="s">
        <v>66</v>
      </c>
      <c r="G12" s="105">
        <v>40</v>
      </c>
      <c r="H12" s="38"/>
      <c r="I12" s="38"/>
      <c r="J12" s="5"/>
    </row>
    <row r="13" spans="1:10" s="4" customFormat="1" ht="15" customHeight="1" x14ac:dyDescent="0.3">
      <c r="A13" s="25" t="s">
        <v>95</v>
      </c>
      <c r="B13" s="38"/>
      <c r="C13" s="106" t="s">
        <v>67</v>
      </c>
      <c r="D13" s="105">
        <v>50</v>
      </c>
      <c r="E13" s="39"/>
      <c r="F13" s="106" t="s">
        <v>67</v>
      </c>
      <c r="G13" s="105">
        <v>50</v>
      </c>
      <c r="H13" s="38"/>
      <c r="I13" s="38"/>
      <c r="J13" s="5"/>
    </row>
    <row r="14" spans="1:10" s="4" customFormat="1" ht="15" customHeight="1" thickBot="1" x14ac:dyDescent="0.35">
      <c r="A14" s="25" t="s">
        <v>96</v>
      </c>
      <c r="B14" s="38"/>
      <c r="C14" s="106" t="s">
        <v>68</v>
      </c>
      <c r="D14" s="105">
        <v>20</v>
      </c>
      <c r="E14" s="39"/>
      <c r="F14" s="106" t="s">
        <v>68</v>
      </c>
      <c r="G14" s="105">
        <v>20</v>
      </c>
      <c r="H14" s="38"/>
      <c r="I14" s="38"/>
      <c r="J14" s="38"/>
    </row>
    <row r="15" spans="1:10" s="4" customFormat="1" ht="15" customHeight="1" thickTop="1" thickBot="1" x14ac:dyDescent="0.35">
      <c r="A15" s="25"/>
      <c r="B15" s="38"/>
      <c r="C15" s="10" t="s">
        <v>97</v>
      </c>
      <c r="D15" s="103"/>
      <c r="E15" s="39"/>
      <c r="F15" s="38"/>
      <c r="G15" s="83"/>
      <c r="H15" s="38"/>
      <c r="I15" s="38"/>
      <c r="J15" s="38"/>
    </row>
    <row r="16" spans="1:10" s="4" customFormat="1" ht="15" customHeight="1" thickTop="1" x14ac:dyDescent="0.3">
      <c r="A16" s="25"/>
      <c r="B16" s="38"/>
      <c r="C16" s="38"/>
      <c r="D16" s="38"/>
      <c r="E16" s="38"/>
      <c r="F16" s="38"/>
      <c r="G16" s="38"/>
      <c r="H16" s="38"/>
      <c r="I16" s="38"/>
      <c r="J16" s="38"/>
    </row>
    <row r="17" spans="1:3" s="4" customFormat="1" ht="15" customHeight="1" x14ac:dyDescent="0.3">
      <c r="A17" s="25"/>
      <c r="B17" s="38"/>
      <c r="C17" s="9"/>
    </row>
    <row r="18" spans="1:3" s="4" customFormat="1" ht="15" customHeight="1" x14ac:dyDescent="0.3">
      <c r="A18" s="25"/>
      <c r="B18" s="38"/>
      <c r="C18" s="9"/>
    </row>
    <row r="19" spans="1:3" s="4" customFormat="1" ht="15" customHeight="1" x14ac:dyDescent="0.3">
      <c r="A19" s="25"/>
      <c r="B19" s="38"/>
      <c r="C19" s="9"/>
    </row>
    <row r="20" spans="1:3" s="4" customFormat="1" ht="15" customHeight="1" x14ac:dyDescent="0.3">
      <c r="A20" s="25"/>
      <c r="B20" s="38"/>
      <c r="C20" s="9"/>
    </row>
    <row r="21" spans="1:3" s="4" customFormat="1" ht="15" customHeight="1" x14ac:dyDescent="0.3">
      <c r="A21" s="25"/>
      <c r="B21" s="38"/>
      <c r="C21" s="9"/>
    </row>
    <row r="22" spans="1:3" s="4" customFormat="1" ht="15" customHeight="1" x14ac:dyDescent="0.3">
      <c r="A22" s="25"/>
      <c r="B22" s="38"/>
      <c r="C22" s="9"/>
    </row>
    <row r="23" spans="1:3" s="4" customFormat="1" ht="15" customHeight="1" x14ac:dyDescent="0.3">
      <c r="A23" s="25"/>
      <c r="B23" s="38"/>
      <c r="C23" s="9"/>
    </row>
    <row r="24" spans="1:3" s="4" customFormat="1" ht="15" customHeight="1" x14ac:dyDescent="0.3">
      <c r="A24" s="25"/>
      <c r="B24" s="38"/>
      <c r="C24" s="9"/>
    </row>
    <row r="25" spans="1:3" s="4" customFormat="1" ht="15" customHeight="1" x14ac:dyDescent="0.3">
      <c r="A25" s="25"/>
      <c r="B25" s="38"/>
      <c r="C25" s="9"/>
    </row>
    <row r="26" spans="1:3" s="4" customFormat="1" ht="15" customHeight="1" x14ac:dyDescent="0.3">
      <c r="A26" s="25"/>
      <c r="B26" s="38"/>
      <c r="C26" s="9"/>
    </row>
    <row r="27" spans="1:3" x14ac:dyDescent="0.3">
      <c r="B27" s="37"/>
    </row>
    <row r="28" spans="1:3" x14ac:dyDescent="0.3">
      <c r="B28" s="37"/>
    </row>
    <row r="29" spans="1:3" ht="15" customHeight="1" x14ac:dyDescent="0.3">
      <c r="B29" s="37"/>
    </row>
    <row r="30" spans="1:3" ht="15" customHeight="1" x14ac:dyDescent="0.3">
      <c r="B30" s="37"/>
    </row>
    <row r="31" spans="1:3" ht="15" customHeight="1" x14ac:dyDescent="0.3">
      <c r="B31" s="37"/>
    </row>
    <row r="32" spans="1:3" ht="15" customHeight="1" x14ac:dyDescent="0.3">
      <c r="B32" s="37"/>
    </row>
    <row r="33" spans="2:9" ht="15" customHeight="1" x14ac:dyDescent="0.3">
      <c r="B33" s="37"/>
      <c r="D33" s="37"/>
      <c r="E33" s="37"/>
      <c r="F33" s="38"/>
      <c r="G33" s="37"/>
      <c r="H33" s="37"/>
      <c r="I33" s="37"/>
    </row>
    <row r="34" spans="2:9" ht="15" customHeight="1" x14ac:dyDescent="0.3">
      <c r="B34" s="37"/>
      <c r="D34" s="37"/>
      <c r="E34" s="37"/>
      <c r="F34" s="38"/>
      <c r="G34" s="37"/>
      <c r="H34" s="37"/>
      <c r="I34" s="37"/>
    </row>
    <row r="35" spans="2:9" ht="15" customHeight="1" x14ac:dyDescent="0.3">
      <c r="B35" s="37"/>
      <c r="D35" s="37"/>
      <c r="E35" s="37"/>
      <c r="F35" s="38"/>
      <c r="G35" s="37"/>
      <c r="H35" s="37"/>
      <c r="I35" s="37"/>
    </row>
    <row r="36" spans="2:9" x14ac:dyDescent="0.3">
      <c r="B36" s="37"/>
      <c r="D36" s="37"/>
      <c r="E36" s="37"/>
      <c r="F36" s="38"/>
      <c r="G36" s="37"/>
      <c r="H36" s="37"/>
      <c r="I36" s="37"/>
    </row>
    <row r="41" spans="2:9" ht="15" customHeight="1" x14ac:dyDescent="0.3">
      <c r="B41" s="37"/>
      <c r="D41" s="37"/>
      <c r="E41" s="37"/>
      <c r="F41" s="38"/>
      <c r="G41" s="37"/>
      <c r="H41" s="37"/>
      <c r="I41" s="37"/>
    </row>
    <row r="42" spans="2:9" ht="15" customHeight="1" x14ac:dyDescent="0.3">
      <c r="B42" s="37"/>
      <c r="D42" s="37"/>
      <c r="E42" s="37"/>
      <c r="F42" s="38"/>
      <c r="G42" s="37"/>
      <c r="H42" s="37"/>
      <c r="I42" s="37"/>
    </row>
    <row r="43" spans="2:9" ht="15" customHeight="1" x14ac:dyDescent="0.3">
      <c r="B43" s="37"/>
      <c r="D43" s="37"/>
      <c r="E43" s="37"/>
      <c r="F43" s="38"/>
      <c r="G43" s="37"/>
      <c r="H43" s="37"/>
      <c r="I43" s="37"/>
    </row>
    <row r="44" spans="2:9" ht="15" customHeight="1" x14ac:dyDescent="0.3">
      <c r="B44" s="37"/>
      <c r="D44" s="37"/>
      <c r="E44" s="37"/>
      <c r="F44" s="38"/>
      <c r="G44" s="37"/>
      <c r="H44" s="37"/>
      <c r="I44" s="37"/>
    </row>
    <row r="45" spans="2:9" ht="15" customHeight="1" x14ac:dyDescent="0.3">
      <c r="B45" s="37"/>
      <c r="D45" s="37"/>
      <c r="E45" s="37"/>
      <c r="F45" s="38"/>
      <c r="G45" s="37"/>
      <c r="H45" s="37"/>
      <c r="I45" s="37"/>
    </row>
    <row r="46" spans="2:9" ht="15" customHeight="1" x14ac:dyDescent="0.3">
      <c r="B46" s="37"/>
      <c r="D46" s="37"/>
      <c r="E46" s="37"/>
      <c r="F46" s="38"/>
      <c r="G46" s="37"/>
      <c r="H46" s="37"/>
      <c r="I46" s="37"/>
    </row>
  </sheetData>
  <pageMargins left="0.7" right="0.7" top="0.75" bottom="0.75" header="0.3" footer="0.3"/>
  <pageSetup paperSize="9" scale="67"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H44"/>
  <sheetViews>
    <sheetView showGridLines="0" view="pageBreakPreview" zoomScaleNormal="100" zoomScaleSheetLayoutView="100" workbookViewId="0">
      <selection activeCell="I16" sqref="I16"/>
    </sheetView>
  </sheetViews>
  <sheetFormatPr defaultColWidth="8.88671875" defaultRowHeight="14.4" x14ac:dyDescent="0.3"/>
  <cols>
    <col min="1" max="1" width="12.6640625" style="16" customWidth="1"/>
    <col min="2" max="2" width="82.88671875" style="1" customWidth="1"/>
    <col min="3" max="3" width="21.88671875" style="1" bestFit="1" customWidth="1"/>
    <col min="4" max="4" width="13.33203125" style="4" customWidth="1"/>
    <col min="5" max="5" width="2.33203125" style="1" customWidth="1"/>
    <col min="6" max="6" width="13.5546875" style="1" bestFit="1" customWidth="1"/>
    <col min="7" max="7" width="13.33203125" style="1" customWidth="1"/>
    <col min="8" max="16384" width="8.88671875" style="1"/>
  </cols>
  <sheetData>
    <row r="1" spans="1:8" ht="60" customHeight="1" x14ac:dyDescent="0.3">
      <c r="A1" s="16" t="s">
        <v>100</v>
      </c>
      <c r="B1" s="37"/>
      <c r="C1" s="69"/>
      <c r="D1" s="80"/>
      <c r="E1" s="80"/>
      <c r="F1" s="80"/>
      <c r="G1" s="80"/>
      <c r="H1" s="37"/>
    </row>
    <row r="2" spans="1:8" ht="15" customHeight="1" x14ac:dyDescent="0.3">
      <c r="A2" s="14" t="s">
        <v>101</v>
      </c>
      <c r="B2" s="37"/>
      <c r="C2" s="7" t="s">
        <v>57</v>
      </c>
      <c r="D2" s="8" t="s">
        <v>73</v>
      </c>
      <c r="E2" s="39"/>
      <c r="F2" s="11" t="s">
        <v>75</v>
      </c>
      <c r="G2" s="8" t="s">
        <v>73</v>
      </c>
      <c r="H2" s="5"/>
    </row>
    <row r="3" spans="1:8" ht="15" customHeight="1" x14ac:dyDescent="0.3">
      <c r="A3" s="14" t="s">
        <v>102</v>
      </c>
      <c r="B3" s="37"/>
      <c r="C3" s="104" t="s">
        <v>58</v>
      </c>
      <c r="D3" s="105">
        <v>50</v>
      </c>
      <c r="E3" s="39"/>
      <c r="F3" s="106" t="s">
        <v>76</v>
      </c>
      <c r="G3" s="105">
        <v>50</v>
      </c>
      <c r="H3" s="5"/>
    </row>
    <row r="4" spans="1:8" ht="15" customHeight="1" x14ac:dyDescent="0.3">
      <c r="A4" s="88" t="s">
        <v>103</v>
      </c>
      <c r="B4" s="37"/>
      <c r="C4" s="104" t="s">
        <v>59</v>
      </c>
      <c r="D4" s="105">
        <v>20</v>
      </c>
      <c r="E4" s="39"/>
      <c r="F4" s="106" t="s">
        <v>77</v>
      </c>
      <c r="G4" s="105">
        <v>30</v>
      </c>
      <c r="H4" s="5"/>
    </row>
    <row r="5" spans="1:8" s="4" customFormat="1" ht="15" customHeight="1" x14ac:dyDescent="0.3">
      <c r="A5" s="88" t="s">
        <v>299</v>
      </c>
      <c r="B5" s="38"/>
      <c r="C5" s="104" t="s">
        <v>60</v>
      </c>
      <c r="D5" s="105">
        <v>60</v>
      </c>
      <c r="E5" s="39"/>
      <c r="F5" s="106" t="s">
        <v>78</v>
      </c>
      <c r="G5" s="105">
        <v>10</v>
      </c>
      <c r="H5" s="5"/>
    </row>
    <row r="6" spans="1:8" s="4" customFormat="1" ht="15" customHeight="1" x14ac:dyDescent="0.3">
      <c r="A6" s="88" t="s">
        <v>104</v>
      </c>
      <c r="B6" s="38"/>
      <c r="C6" s="104" t="s">
        <v>61</v>
      </c>
      <c r="D6" s="105">
        <v>40</v>
      </c>
      <c r="E6" s="39"/>
      <c r="F6" s="106" t="s">
        <v>79</v>
      </c>
      <c r="G6" s="105">
        <v>50</v>
      </c>
      <c r="H6" s="5"/>
    </row>
    <row r="7" spans="1:8" s="4" customFormat="1" ht="15" customHeight="1" x14ac:dyDescent="0.3">
      <c r="A7" s="89" t="s">
        <v>105</v>
      </c>
      <c r="B7" s="38"/>
      <c r="C7" s="10" t="s">
        <v>109</v>
      </c>
      <c r="D7" s="103"/>
      <c r="E7" s="39"/>
      <c r="F7" s="10" t="s">
        <v>111</v>
      </c>
      <c r="G7" s="103"/>
      <c r="H7" s="5"/>
    </row>
    <row r="8" spans="1:8" s="4" customFormat="1" ht="15" customHeight="1" x14ac:dyDescent="0.3">
      <c r="A8" s="15" t="s">
        <v>106</v>
      </c>
      <c r="B8" s="38"/>
      <c r="C8" s="38"/>
      <c r="D8" s="39"/>
      <c r="E8" s="39"/>
      <c r="F8" s="38"/>
      <c r="G8" s="39"/>
      <c r="H8" s="5"/>
    </row>
    <row r="9" spans="1:8" s="4" customFormat="1" ht="15" customHeight="1" x14ac:dyDescent="0.3">
      <c r="A9" s="15" t="s">
        <v>107</v>
      </c>
      <c r="B9" s="38"/>
      <c r="C9" s="7" t="s">
        <v>63</v>
      </c>
      <c r="D9" s="8" t="s">
        <v>73</v>
      </c>
      <c r="E9" s="39"/>
      <c r="F9" s="11" t="s">
        <v>63</v>
      </c>
      <c r="G9" s="8" t="s">
        <v>73</v>
      </c>
      <c r="H9" s="5"/>
    </row>
    <row r="10" spans="1:8" s="4" customFormat="1" ht="15" customHeight="1" x14ac:dyDescent="0.3">
      <c r="A10" s="14" t="s">
        <v>30</v>
      </c>
      <c r="B10" s="38"/>
      <c r="C10" s="104" t="s">
        <v>64</v>
      </c>
      <c r="D10" s="105">
        <v>50</v>
      </c>
      <c r="E10" s="39"/>
      <c r="F10" s="106" t="s">
        <v>64</v>
      </c>
      <c r="G10" s="105">
        <v>50</v>
      </c>
      <c r="H10" s="5"/>
    </row>
    <row r="11" spans="1:8" s="4" customFormat="1" ht="15" customHeight="1" x14ac:dyDescent="0.3">
      <c r="A11" s="89" t="s">
        <v>108</v>
      </c>
      <c r="B11" s="38"/>
      <c r="C11" s="104" t="s">
        <v>65</v>
      </c>
      <c r="D11" s="105">
        <v>100</v>
      </c>
      <c r="E11" s="39"/>
      <c r="F11" s="106" t="s">
        <v>65</v>
      </c>
      <c r="G11" s="105">
        <v>100</v>
      </c>
      <c r="H11" s="5"/>
    </row>
    <row r="12" spans="1:8" s="4" customFormat="1" ht="15" customHeight="1" x14ac:dyDescent="0.3">
      <c r="A12" s="15"/>
      <c r="B12" s="38"/>
      <c r="C12" s="104" t="s">
        <v>66</v>
      </c>
      <c r="D12" s="105">
        <v>40</v>
      </c>
      <c r="E12" s="39"/>
      <c r="F12" s="106" t="s">
        <v>66</v>
      </c>
      <c r="G12" s="105">
        <v>40</v>
      </c>
      <c r="H12" s="5"/>
    </row>
    <row r="13" spans="1:8" s="4" customFormat="1" ht="15" customHeight="1" x14ac:dyDescent="0.3">
      <c r="A13" s="15"/>
      <c r="B13" s="38"/>
      <c r="C13" s="104" t="s">
        <v>67</v>
      </c>
      <c r="D13" s="105">
        <v>50</v>
      </c>
      <c r="E13" s="39"/>
      <c r="F13" s="106" t="s">
        <v>67</v>
      </c>
      <c r="G13" s="105">
        <v>50</v>
      </c>
      <c r="H13" s="5"/>
    </row>
    <row r="14" spans="1:8" s="4" customFormat="1" ht="15" customHeight="1" x14ac:dyDescent="0.3">
      <c r="A14" s="15"/>
      <c r="B14" s="38"/>
      <c r="C14" s="104" t="s">
        <v>68</v>
      </c>
      <c r="D14" s="105">
        <v>20</v>
      </c>
      <c r="E14" s="39"/>
      <c r="F14" s="106" t="s">
        <v>68</v>
      </c>
      <c r="G14" s="105">
        <v>20</v>
      </c>
      <c r="H14" s="38"/>
    </row>
    <row r="15" spans="1:8" s="4" customFormat="1" ht="15" customHeight="1" x14ac:dyDescent="0.3">
      <c r="A15" s="16"/>
      <c r="B15" s="38"/>
      <c r="C15" s="10" t="s">
        <v>110</v>
      </c>
      <c r="D15" s="103"/>
      <c r="E15" s="39"/>
      <c r="F15" s="10"/>
      <c r="G15" s="103">
        <f>MIN(G10:G14,10)</f>
        <v>10</v>
      </c>
      <c r="H15" s="38"/>
    </row>
    <row r="16" spans="1:8" s="4" customFormat="1" ht="15" customHeight="1" x14ac:dyDescent="0.3">
      <c r="A16" s="16"/>
      <c r="B16" s="38"/>
      <c r="C16" s="38"/>
      <c r="D16" s="38"/>
      <c r="E16" s="38"/>
      <c r="F16" s="38"/>
      <c r="G16" s="38"/>
      <c r="H16" s="38"/>
    </row>
    <row r="17" spans="1:1" s="4" customFormat="1" ht="15" customHeight="1" x14ac:dyDescent="0.3">
      <c r="A17" s="16"/>
    </row>
    <row r="18" spans="1:1" s="4" customFormat="1" ht="15" customHeight="1" x14ac:dyDescent="0.3">
      <c r="A18" s="17"/>
    </row>
    <row r="19" spans="1:1" s="4" customFormat="1" ht="15" customHeight="1" x14ac:dyDescent="0.3">
      <c r="A19" s="14"/>
    </row>
    <row r="20" spans="1:1" s="4" customFormat="1" ht="15" customHeight="1" x14ac:dyDescent="0.3">
      <c r="A20" s="16"/>
    </row>
    <row r="21" spans="1:1" s="4" customFormat="1" ht="15" customHeight="1" x14ac:dyDescent="0.3">
      <c r="A21" s="14"/>
    </row>
    <row r="22" spans="1:1" s="4" customFormat="1" ht="15" customHeight="1" x14ac:dyDescent="0.3">
      <c r="A22" s="14"/>
    </row>
    <row r="23" spans="1:1" s="4" customFormat="1" ht="15" customHeight="1" x14ac:dyDescent="0.3">
      <c r="A23" s="14"/>
    </row>
    <row r="24" spans="1:1" s="4" customFormat="1" ht="15" customHeight="1" x14ac:dyDescent="0.3">
      <c r="A24" s="14"/>
    </row>
    <row r="25" spans="1:1" s="4" customFormat="1" ht="15" customHeight="1" x14ac:dyDescent="0.3">
      <c r="A25" s="14"/>
    </row>
    <row r="27" spans="1:1" ht="15" customHeight="1" x14ac:dyDescent="0.3"/>
    <row r="28" spans="1:1" ht="15" customHeight="1" x14ac:dyDescent="0.3"/>
    <row r="29" spans="1:1" ht="15" customHeight="1" x14ac:dyDescent="0.3"/>
    <row r="30" spans="1:1" ht="15" customHeight="1" x14ac:dyDescent="0.3"/>
    <row r="31" spans="1:1" ht="15" customHeight="1" x14ac:dyDescent="0.3"/>
    <row r="32" spans="1:1" ht="15" customHeight="1" x14ac:dyDescent="0.3"/>
    <row r="33" spans="3:7" ht="15" customHeight="1" x14ac:dyDescent="0.3">
      <c r="C33" s="37"/>
      <c r="D33" s="38"/>
      <c r="E33" s="37"/>
      <c r="F33" s="37"/>
      <c r="G33" s="37"/>
    </row>
    <row r="39" spans="3:7" ht="15" customHeight="1" x14ac:dyDescent="0.3">
      <c r="C39" s="37"/>
      <c r="D39" s="38"/>
      <c r="E39" s="37"/>
      <c r="F39" s="37"/>
      <c r="G39" s="37"/>
    </row>
    <row r="40" spans="3:7" ht="15" customHeight="1" x14ac:dyDescent="0.3">
      <c r="C40" s="37"/>
      <c r="D40" s="38"/>
      <c r="E40" s="37"/>
      <c r="F40" s="37"/>
      <c r="G40" s="37"/>
    </row>
    <row r="41" spans="3:7" ht="15" customHeight="1" x14ac:dyDescent="0.3">
      <c r="C41" s="37"/>
      <c r="D41" s="38"/>
      <c r="E41" s="37"/>
      <c r="F41" s="37"/>
      <c r="G41" s="37"/>
    </row>
    <row r="42" spans="3:7" ht="15" customHeight="1" x14ac:dyDescent="0.3">
      <c r="C42" s="37"/>
      <c r="D42" s="38"/>
      <c r="E42" s="37"/>
      <c r="F42" s="37"/>
      <c r="G42" s="37"/>
    </row>
    <row r="43" spans="3:7" ht="15" customHeight="1" x14ac:dyDescent="0.3">
      <c r="C43" s="37"/>
      <c r="D43" s="38"/>
      <c r="E43" s="37"/>
      <c r="F43" s="37"/>
      <c r="G43" s="37"/>
    </row>
    <row r="44" spans="3:7" ht="15" customHeight="1" x14ac:dyDescent="0.3">
      <c r="C44" s="37"/>
      <c r="D44" s="38"/>
      <c r="E44" s="37"/>
      <c r="F44" s="37"/>
      <c r="G44" s="37"/>
    </row>
  </sheetData>
  <pageMargins left="0.7" right="0.7" top="0.75" bottom="0.75" header="0.3" footer="0.3"/>
  <pageSetup paperSize="9" scale="77"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G57"/>
  <sheetViews>
    <sheetView showGridLines="0" showZeros="0" view="pageBreakPreview" topLeftCell="A55" zoomScaleNormal="175" zoomScaleSheetLayoutView="100" workbookViewId="0">
      <selection activeCell="I16" sqref="I16"/>
    </sheetView>
  </sheetViews>
  <sheetFormatPr defaultRowHeight="14.4" x14ac:dyDescent="0.3"/>
  <cols>
    <col min="1" max="1" width="12.6640625" customWidth="1"/>
    <col min="2" max="2" width="82.88671875" customWidth="1"/>
    <col min="3" max="3" width="31.88671875" bestFit="1" customWidth="1"/>
    <col min="4" max="4" width="15.109375" customWidth="1"/>
    <col min="7" max="7" width="10.77734375" bestFit="1" customWidth="1"/>
    <col min="9" max="9" width="10.5546875" bestFit="1" customWidth="1"/>
    <col min="14" max="14" width="10.77734375" bestFit="1" customWidth="1"/>
  </cols>
  <sheetData>
    <row r="1" spans="1:6" ht="60" customHeight="1" x14ac:dyDescent="0.3">
      <c r="A1" s="25" t="s">
        <v>112</v>
      </c>
    </row>
    <row r="2" spans="1:6" x14ac:dyDescent="0.3">
      <c r="A2" s="25" t="s">
        <v>113</v>
      </c>
    </row>
    <row r="3" spans="1:6" ht="32.4" x14ac:dyDescent="0.3">
      <c r="A3" s="25" t="s">
        <v>114</v>
      </c>
      <c r="C3" s="69"/>
      <c r="D3" s="81"/>
    </row>
    <row r="4" spans="1:6" x14ac:dyDescent="0.3">
      <c r="A4" s="25" t="s">
        <v>115</v>
      </c>
    </row>
    <row r="5" spans="1:6" x14ac:dyDescent="0.3">
      <c r="A5" s="25" t="s">
        <v>116</v>
      </c>
      <c r="C5" s="139" t="s">
        <v>112</v>
      </c>
      <c r="D5" s="139"/>
    </row>
    <row r="6" spans="1:6" ht="16.5" customHeight="1" x14ac:dyDescent="0.4">
      <c r="A6" s="25" t="s">
        <v>117</v>
      </c>
      <c r="C6" s="97" t="s">
        <v>126</v>
      </c>
      <c r="D6" s="115"/>
      <c r="F6" s="90" t="str">
        <f ca="1">IF(D6=TODAY(),"Muito bem!","")</f>
        <v/>
      </c>
    </row>
    <row r="7" spans="1:6" ht="16.5" customHeight="1" thickBot="1" x14ac:dyDescent="0.35">
      <c r="A7" s="27" t="s">
        <v>118</v>
      </c>
      <c r="C7" s="97" t="s">
        <v>127</v>
      </c>
      <c r="D7" s="115"/>
    </row>
    <row r="8" spans="1:6" ht="16.5" customHeight="1" thickTop="1" thickBot="1" x14ac:dyDescent="0.35">
      <c r="A8" s="25" t="s">
        <v>119</v>
      </c>
      <c r="C8" s="97" t="s">
        <v>128</v>
      </c>
      <c r="D8" s="107"/>
    </row>
    <row r="9" spans="1:6" ht="15" thickTop="1" x14ac:dyDescent="0.3">
      <c r="A9" s="25" t="s">
        <v>120</v>
      </c>
    </row>
    <row r="10" spans="1:6" ht="15" customHeight="1" thickBot="1" x14ac:dyDescent="0.35">
      <c r="A10" s="27" t="s">
        <v>121</v>
      </c>
      <c r="C10" s="97" t="s">
        <v>129</v>
      </c>
      <c r="D10" s="108"/>
    </row>
    <row r="11" spans="1:6" ht="15" customHeight="1" thickTop="1" thickBot="1" x14ac:dyDescent="0.35">
      <c r="A11" s="27" t="s">
        <v>122</v>
      </c>
      <c r="C11" s="97" t="s">
        <v>130</v>
      </c>
      <c r="D11" s="116"/>
    </row>
    <row r="12" spans="1:6" ht="15" thickTop="1" x14ac:dyDescent="0.3">
      <c r="A12" s="25" t="s">
        <v>301</v>
      </c>
    </row>
    <row r="13" spans="1:6" x14ac:dyDescent="0.3">
      <c r="A13" s="25" t="s">
        <v>23</v>
      </c>
    </row>
    <row r="14" spans="1:6" x14ac:dyDescent="0.3">
      <c r="A14" s="25" t="s">
        <v>24</v>
      </c>
    </row>
    <row r="15" spans="1:6" x14ac:dyDescent="0.3">
      <c r="A15" s="25" t="s">
        <v>25</v>
      </c>
    </row>
    <row r="16" spans="1:6" x14ac:dyDescent="0.3">
      <c r="A16" s="25" t="s">
        <v>123</v>
      </c>
    </row>
    <row r="17" spans="1:4" x14ac:dyDescent="0.3">
      <c r="A17" s="25" t="s">
        <v>124</v>
      </c>
    </row>
    <row r="18" spans="1:4" x14ac:dyDescent="0.3">
      <c r="A18" s="25" t="s">
        <v>125</v>
      </c>
    </row>
    <row r="19" spans="1:4" x14ac:dyDescent="0.3">
      <c r="A19" s="25" t="s">
        <v>30</v>
      </c>
    </row>
    <row r="25" spans="1:4" ht="15" customHeight="1" x14ac:dyDescent="0.3">
      <c r="C25" s="69"/>
      <c r="D25" s="81"/>
    </row>
    <row r="27" spans="1:4" x14ac:dyDescent="0.3">
      <c r="C27" s="139" t="s">
        <v>119</v>
      </c>
      <c r="D27" s="139"/>
    </row>
    <row r="28" spans="1:4" x14ac:dyDescent="0.3">
      <c r="C28" s="97" t="s">
        <v>131</v>
      </c>
      <c r="D28" s="130"/>
    </row>
    <row r="31" spans="1:4" x14ac:dyDescent="0.3">
      <c r="C31" s="139" t="s">
        <v>132</v>
      </c>
      <c r="D31" s="139"/>
    </row>
    <row r="32" spans="1:4" x14ac:dyDescent="0.3">
      <c r="C32" s="97" t="s">
        <v>133</v>
      </c>
      <c r="D32" s="118"/>
    </row>
    <row r="33" spans="3:4" x14ac:dyDescent="0.3">
      <c r="C33" s="97" t="s">
        <v>134</v>
      </c>
      <c r="D33" s="118"/>
    </row>
    <row r="34" spans="3:4" x14ac:dyDescent="0.3">
      <c r="C34" s="97" t="s">
        <v>135</v>
      </c>
      <c r="D34" s="118"/>
    </row>
    <row r="35" spans="3:4" ht="15" thickBot="1" x14ac:dyDescent="0.35">
      <c r="C35" s="97" t="s">
        <v>136</v>
      </c>
      <c r="D35" s="118"/>
    </row>
    <row r="36" spans="3:4" ht="15.6" thickTop="1" thickBot="1" x14ac:dyDescent="0.35">
      <c r="C36" s="97" t="s">
        <v>137</v>
      </c>
      <c r="D36" s="107"/>
    </row>
    <row r="37" spans="3:4" ht="15" thickTop="1" x14ac:dyDescent="0.3"/>
    <row r="45" spans="3:4" x14ac:dyDescent="0.3">
      <c r="C45" s="140" t="s">
        <v>138</v>
      </c>
      <c r="D45" s="140"/>
    </row>
    <row r="46" spans="3:4" x14ac:dyDescent="0.3">
      <c r="C46" s="109" t="s">
        <v>139</v>
      </c>
      <c r="D46" s="117"/>
    </row>
    <row r="47" spans="3:4" x14ac:dyDescent="0.3">
      <c r="C47" s="109" t="s">
        <v>140</v>
      </c>
      <c r="D47" s="119"/>
    </row>
    <row r="57" spans="7:7" x14ac:dyDescent="0.3">
      <c r="G57" s="12">
        <f>Início!A8</f>
        <v>0</v>
      </c>
    </row>
  </sheetData>
  <mergeCells count="4">
    <mergeCell ref="C27:D27"/>
    <mergeCell ref="C31:D31"/>
    <mergeCell ref="C45:D45"/>
    <mergeCell ref="C5:D5"/>
  </mergeCells>
  <pageMargins left="0.7" right="0.7" top="0.75" bottom="0.75" header="0.3" footer="0.3"/>
  <pageSetup paperSize="9" scale="49" fitToHeight="0" orientation="landscape" r:id="rId1"/>
  <rowBreaks count="1" manualBreakCount="1">
    <brk id="1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H37"/>
  <sheetViews>
    <sheetView showGridLines="0" view="pageBreakPreview" topLeftCell="A24" zoomScaleNormal="100" zoomScaleSheetLayoutView="100" workbookViewId="0">
      <selection activeCell="I16" sqref="I16"/>
    </sheetView>
  </sheetViews>
  <sheetFormatPr defaultRowHeight="14.4" x14ac:dyDescent="0.3"/>
  <cols>
    <col min="1" max="1" width="12.6640625" style="25" customWidth="1"/>
    <col min="2" max="2" width="82.88671875" customWidth="1"/>
    <col min="3" max="3" width="16.33203125" customWidth="1"/>
    <col min="4" max="4" width="15" customWidth="1"/>
    <col min="5" max="5" width="21.88671875" bestFit="1" customWidth="1"/>
    <col min="6" max="6" width="18.33203125" customWidth="1"/>
    <col min="8" max="8" width="12.109375" bestFit="1" customWidth="1"/>
  </cols>
  <sheetData>
    <row r="1" spans="1:6" ht="60" customHeight="1" x14ac:dyDescent="0.3">
      <c r="A1" s="25" t="s">
        <v>141</v>
      </c>
      <c r="C1" s="69"/>
      <c r="D1" s="81"/>
      <c r="E1" s="81"/>
      <c r="F1" s="81"/>
    </row>
    <row r="2" spans="1:6" x14ac:dyDescent="0.3">
      <c r="A2" s="25" t="s">
        <v>142</v>
      </c>
      <c r="C2" s="7" t="s">
        <v>153</v>
      </c>
      <c r="D2" s="7" t="s">
        <v>166</v>
      </c>
      <c r="E2" s="7" t="s">
        <v>175</v>
      </c>
      <c r="F2" s="7" t="s">
        <v>176</v>
      </c>
    </row>
    <row r="3" spans="1:6" x14ac:dyDescent="0.3">
      <c r="A3" s="25" t="s">
        <v>143</v>
      </c>
      <c r="C3" s="97" t="s">
        <v>154</v>
      </c>
      <c r="D3" s="97" t="s">
        <v>167</v>
      </c>
      <c r="E3" s="108" t="str">
        <f>D3&amp;", "&amp;C3</f>
        <v>Gouveia, Margarida</v>
      </c>
      <c r="F3" s="55" t="str">
        <f>C3&amp;" "&amp;D3</f>
        <v>Margarida Gouveia</v>
      </c>
    </row>
    <row r="4" spans="1:6" x14ac:dyDescent="0.3">
      <c r="A4" s="25" t="s">
        <v>144</v>
      </c>
      <c r="C4" s="97" t="s">
        <v>155</v>
      </c>
      <c r="D4" s="97" t="s">
        <v>168</v>
      </c>
      <c r="E4" s="108"/>
      <c r="F4" s="55"/>
    </row>
    <row r="5" spans="1:6" x14ac:dyDescent="0.3">
      <c r="A5" s="25" t="s">
        <v>145</v>
      </c>
      <c r="C5" s="97" t="s">
        <v>156</v>
      </c>
      <c r="D5" s="97" t="s">
        <v>169</v>
      </c>
      <c r="E5" s="108"/>
      <c r="F5" s="55"/>
    </row>
    <row r="6" spans="1:6" x14ac:dyDescent="0.3">
      <c r="A6" s="25" t="s">
        <v>11</v>
      </c>
      <c r="C6" s="97" t="s">
        <v>157</v>
      </c>
      <c r="D6" s="97" t="s">
        <v>170</v>
      </c>
      <c r="E6" s="108"/>
      <c r="F6" s="55"/>
    </row>
    <row r="7" spans="1:6" x14ac:dyDescent="0.3">
      <c r="A7" s="25" t="s">
        <v>24</v>
      </c>
      <c r="C7" s="97" t="s">
        <v>158</v>
      </c>
      <c r="D7" s="97" t="s">
        <v>171</v>
      </c>
      <c r="E7" s="108"/>
      <c r="F7" s="55"/>
    </row>
    <row r="8" spans="1:6" x14ac:dyDescent="0.3">
      <c r="A8" s="25" t="s">
        <v>146</v>
      </c>
      <c r="C8" s="97" t="s">
        <v>159</v>
      </c>
      <c r="D8" s="97" t="s">
        <v>172</v>
      </c>
      <c r="E8" s="108"/>
      <c r="F8" s="55"/>
    </row>
    <row r="9" spans="1:6" x14ac:dyDescent="0.3">
      <c r="A9" s="25" t="s">
        <v>147</v>
      </c>
      <c r="C9" s="97" t="s">
        <v>160</v>
      </c>
      <c r="D9" s="97" t="s">
        <v>173</v>
      </c>
      <c r="E9" s="108"/>
      <c r="F9" s="55"/>
    </row>
    <row r="10" spans="1:6" x14ac:dyDescent="0.3">
      <c r="A10" s="25" t="s">
        <v>148</v>
      </c>
      <c r="C10" s="97" t="s">
        <v>161</v>
      </c>
      <c r="D10" s="97" t="s">
        <v>174</v>
      </c>
      <c r="E10" s="108"/>
      <c r="F10" s="55"/>
    </row>
    <row r="11" spans="1:6" ht="15" customHeight="1" x14ac:dyDescent="0.3">
      <c r="A11" s="27" t="s">
        <v>302</v>
      </c>
    </row>
    <row r="12" spans="1:6" x14ac:dyDescent="0.3">
      <c r="A12" s="25" t="s">
        <v>149</v>
      </c>
      <c r="B12" s="134" t="s">
        <v>413</v>
      </c>
      <c r="C12" s="133" t="s">
        <v>412</v>
      </c>
      <c r="D12" t="str">
        <f>CONCATENATE("Para unir Células ",C3," ou usamos o &amp;")</f>
        <v>Para unir Células Margarida ou usamos o &amp;</v>
      </c>
    </row>
    <row r="13" spans="1:6" ht="15" customHeight="1" x14ac:dyDescent="0.3">
      <c r="A13" s="27" t="s">
        <v>150</v>
      </c>
    </row>
    <row r="14" spans="1:6" x14ac:dyDescent="0.3">
      <c r="A14" s="25" t="s">
        <v>25</v>
      </c>
    </row>
    <row r="15" spans="1:6" x14ac:dyDescent="0.3">
      <c r="A15" s="25" t="s">
        <v>151</v>
      </c>
    </row>
    <row r="16" spans="1:6" x14ac:dyDescent="0.3">
      <c r="A16" s="25" t="s">
        <v>152</v>
      </c>
    </row>
    <row r="17" spans="1:8" x14ac:dyDescent="0.3">
      <c r="A17" s="25" t="s">
        <v>30</v>
      </c>
    </row>
    <row r="21" spans="1:8" x14ac:dyDescent="0.3">
      <c r="D21" s="12"/>
    </row>
    <row r="27" spans="1:8" x14ac:dyDescent="0.3">
      <c r="C27" s="139" t="s">
        <v>162</v>
      </c>
      <c r="D27" s="139"/>
    </row>
    <row r="28" spans="1:8" x14ac:dyDescent="0.3">
      <c r="C28" s="97" t="s">
        <v>126</v>
      </c>
      <c r="D28" s="132" t="s">
        <v>411</v>
      </c>
      <c r="H28" s="12"/>
    </row>
    <row r="29" spans="1:8" x14ac:dyDescent="0.3">
      <c r="C29" s="97" t="s">
        <v>163</v>
      </c>
      <c r="D29" s="120">
        <f ca="1">NOW()</f>
        <v>45957.455070601849</v>
      </c>
    </row>
    <row r="31" spans="1:8" x14ac:dyDescent="0.3">
      <c r="C31" s="140" t="s">
        <v>164</v>
      </c>
      <c r="D31" s="140"/>
    </row>
    <row r="32" spans="1:8" x14ac:dyDescent="0.3">
      <c r="C32" s="97" t="str">
        <f>C28&amp;" "&amp;D28</f>
        <v>Data de hoje: 05/03/2025</v>
      </c>
      <c r="D32" s="97"/>
    </row>
    <row r="33" spans="3:4" x14ac:dyDescent="0.3">
      <c r="C33" s="97" t="str">
        <f ca="1">C29&amp;" "&amp;D29</f>
        <v>Hora atual: 45957,4550706018</v>
      </c>
      <c r="D33" s="97"/>
    </row>
    <row r="35" spans="3:4" x14ac:dyDescent="0.3">
      <c r="C35" s="141" t="s">
        <v>165</v>
      </c>
      <c r="D35" s="141"/>
    </row>
    <row r="36" spans="3:4" x14ac:dyDescent="0.3">
      <c r="C36" s="55"/>
      <c r="D36" s="131"/>
    </row>
    <row r="37" spans="3:4" x14ac:dyDescent="0.3">
      <c r="C37" s="55"/>
      <c r="D37" s="55"/>
    </row>
  </sheetData>
  <mergeCells count="3">
    <mergeCell ref="C27:D27"/>
    <mergeCell ref="C31:D31"/>
    <mergeCell ref="C35:D35"/>
  </mergeCells>
  <pageMargins left="0.7" right="0.7" top="0.75" bottom="0.75" header="0.3" footer="0.3"/>
  <pageSetup paperSize="9" scale="69" fitToHeight="0" orientation="landscape" r:id="rId1"/>
  <rowBreaks count="1" manualBreakCount="1">
    <brk id="25"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F37"/>
  <sheetViews>
    <sheetView showGridLines="0" view="pageBreakPreview" topLeftCell="A20" zoomScaleNormal="100" zoomScaleSheetLayoutView="100" workbookViewId="0">
      <selection activeCell="I16" sqref="I16"/>
    </sheetView>
  </sheetViews>
  <sheetFormatPr defaultRowHeight="14.4" x14ac:dyDescent="0.3"/>
  <cols>
    <col min="1" max="1" width="12.6640625" customWidth="1"/>
    <col min="2" max="2" width="82.88671875" customWidth="1"/>
    <col min="3" max="3" width="17.109375" customWidth="1"/>
    <col min="4" max="4" width="26.109375" bestFit="1" customWidth="1"/>
  </cols>
  <sheetData>
    <row r="1" spans="1:6" ht="60" customHeight="1" x14ac:dyDescent="0.3">
      <c r="A1" s="25" t="s">
        <v>177</v>
      </c>
      <c r="D1" s="81"/>
    </row>
    <row r="2" spans="1:6" x14ac:dyDescent="0.3">
      <c r="A2" s="25" t="s">
        <v>178</v>
      </c>
      <c r="E2" s="30"/>
      <c r="F2" s="30"/>
    </row>
    <row r="3" spans="1:6" ht="15" customHeight="1" x14ac:dyDescent="0.3">
      <c r="A3" s="27" t="s">
        <v>179</v>
      </c>
      <c r="E3" s="30"/>
      <c r="F3" s="30"/>
    </row>
    <row r="4" spans="1:6" ht="15" customHeight="1" x14ac:dyDescent="0.3">
      <c r="A4" s="27" t="s">
        <v>180</v>
      </c>
      <c r="E4" s="30"/>
      <c r="F4" s="30"/>
    </row>
    <row r="5" spans="1:6" ht="15" customHeight="1" x14ac:dyDescent="0.3">
      <c r="A5" s="27" t="s">
        <v>181</v>
      </c>
      <c r="C5" s="91"/>
      <c r="E5" s="30"/>
      <c r="F5" s="30"/>
    </row>
    <row r="6" spans="1:6" ht="15" customHeight="1" x14ac:dyDescent="0.3">
      <c r="A6" s="27" t="s">
        <v>182</v>
      </c>
      <c r="E6" s="30"/>
      <c r="F6" s="30"/>
    </row>
    <row r="7" spans="1:6" x14ac:dyDescent="0.3">
      <c r="A7" s="25" t="s">
        <v>11</v>
      </c>
      <c r="C7" s="30"/>
      <c r="D7" s="30"/>
      <c r="E7" s="30"/>
      <c r="F7" s="30"/>
    </row>
    <row r="8" spans="1:6" x14ac:dyDescent="0.3">
      <c r="A8" s="25" t="s">
        <v>24</v>
      </c>
      <c r="C8" s="142" t="s">
        <v>177</v>
      </c>
      <c r="D8" s="142"/>
    </row>
    <row r="9" spans="1:6" x14ac:dyDescent="0.3">
      <c r="A9" s="25" t="s">
        <v>183</v>
      </c>
      <c r="C9" s="110" t="s">
        <v>193</v>
      </c>
      <c r="D9" s="47"/>
    </row>
    <row r="10" spans="1:6" x14ac:dyDescent="0.3">
      <c r="A10" s="25" t="s">
        <v>184</v>
      </c>
      <c r="C10" s="110" t="s">
        <v>194</v>
      </c>
      <c r="D10" s="47"/>
    </row>
    <row r="11" spans="1:6" ht="15" customHeight="1" thickBot="1" x14ac:dyDescent="0.35">
      <c r="A11" s="27" t="s">
        <v>185</v>
      </c>
      <c r="C11" s="30"/>
      <c r="D11" s="30"/>
    </row>
    <row r="12" spans="1:6" ht="15" customHeight="1" thickTop="1" thickBot="1" x14ac:dyDescent="0.35">
      <c r="A12" s="27" t="s">
        <v>186</v>
      </c>
      <c r="C12" s="53">
        <v>50</v>
      </c>
      <c r="D12" s="47"/>
    </row>
    <row r="13" spans="1:6" ht="15" customHeight="1" thickTop="1" x14ac:dyDescent="0.3">
      <c r="A13" s="27" t="s">
        <v>187</v>
      </c>
    </row>
    <row r="14" spans="1:6" x14ac:dyDescent="0.3">
      <c r="A14" s="25" t="s">
        <v>188</v>
      </c>
    </row>
    <row r="15" spans="1:6" ht="15" customHeight="1" x14ac:dyDescent="0.3">
      <c r="A15" s="27" t="s">
        <v>189</v>
      </c>
    </row>
    <row r="16" spans="1:6" x14ac:dyDescent="0.3">
      <c r="A16" s="25" t="s">
        <v>23</v>
      </c>
    </row>
    <row r="17" spans="1:6" x14ac:dyDescent="0.3">
      <c r="A17" s="25" t="s">
        <v>24</v>
      </c>
    </row>
    <row r="18" spans="1:6" x14ac:dyDescent="0.3">
      <c r="A18" s="25" t="s">
        <v>25</v>
      </c>
      <c r="C18" s="12"/>
    </row>
    <row r="19" spans="1:6" x14ac:dyDescent="0.3">
      <c r="A19" s="25" t="s">
        <v>190</v>
      </c>
    </row>
    <row r="20" spans="1:6" x14ac:dyDescent="0.3">
      <c r="A20" s="25" t="s">
        <v>191</v>
      </c>
    </row>
    <row r="21" spans="1:6" x14ac:dyDescent="0.3">
      <c r="A21" s="25" t="s">
        <v>192</v>
      </c>
    </row>
    <row r="22" spans="1:6" x14ac:dyDescent="0.3">
      <c r="A22" s="25" t="s">
        <v>30</v>
      </c>
    </row>
    <row r="26" spans="1:6" ht="15" thickBot="1" x14ac:dyDescent="0.35"/>
    <row r="27" spans="1:6" ht="15" thickBot="1" x14ac:dyDescent="0.35">
      <c r="C27" s="62" t="s">
        <v>63</v>
      </c>
      <c r="D27" s="63" t="s">
        <v>73</v>
      </c>
      <c r="E27" s="63" t="s">
        <v>201</v>
      </c>
      <c r="F27" s="63" t="s">
        <v>200</v>
      </c>
    </row>
    <row r="28" spans="1:6" x14ac:dyDescent="0.3">
      <c r="C28" s="64" t="s">
        <v>195</v>
      </c>
      <c r="D28" s="64">
        <v>2</v>
      </c>
      <c r="E28" s="121">
        <v>9.7607115856835538</v>
      </c>
      <c r="F28" s="121">
        <f>'Instruções SE'!$E$28:$E$29*'Instruções SE'!$D$28:$D$29</f>
        <v>19.521423171367108</v>
      </c>
    </row>
    <row r="29" spans="1:6" ht="15" thickBot="1" x14ac:dyDescent="0.35">
      <c r="C29" s="56" t="s">
        <v>196</v>
      </c>
      <c r="D29" s="56">
        <v>3</v>
      </c>
      <c r="E29" s="122">
        <v>3.4189202461080024</v>
      </c>
      <c r="F29" s="122">
        <f>'Instruções SE'!$E$28:$E$29*'Instruções SE'!$D$28:$D$29</f>
        <v>10.256760738324008</v>
      </c>
    </row>
    <row r="30" spans="1:6" x14ac:dyDescent="0.3">
      <c r="C30" s="30"/>
      <c r="D30" s="30"/>
      <c r="E30" s="30"/>
      <c r="F30" s="30"/>
    </row>
    <row r="31" spans="1:6" x14ac:dyDescent="0.3">
      <c r="C31" s="30"/>
      <c r="D31" s="30" t="s">
        <v>197</v>
      </c>
      <c r="E31" s="123">
        <f>SUM('Instruções SE'!$E$28:$E$29)</f>
        <v>13.179631831791557</v>
      </c>
      <c r="F31" s="123">
        <f>SUM('Instruções SE'!F28:F29)</f>
        <v>29.778183909691116</v>
      </c>
    </row>
    <row r="32" spans="1:6" ht="15" thickBot="1" x14ac:dyDescent="0.35">
      <c r="C32" s="30"/>
      <c r="D32" s="30"/>
      <c r="E32" s="30"/>
      <c r="F32" s="30"/>
    </row>
    <row r="33" spans="3:6" ht="15.6" thickTop="1" thickBot="1" x14ac:dyDescent="0.35">
      <c r="C33" s="30"/>
      <c r="D33" s="30" t="s">
        <v>198</v>
      </c>
      <c r="E33" s="53"/>
      <c r="F33" s="124"/>
    </row>
    <row r="34" spans="3:6" ht="15.6" thickTop="1" thickBot="1" x14ac:dyDescent="0.35">
      <c r="C34" s="30"/>
      <c r="D34" s="30"/>
      <c r="E34" s="30"/>
      <c r="F34" s="30"/>
    </row>
    <row r="35" spans="3:6" ht="15.6" thickTop="1" thickBot="1" x14ac:dyDescent="0.35">
      <c r="C35" s="30"/>
      <c r="D35" s="30" t="s">
        <v>199</v>
      </c>
      <c r="E35" s="53"/>
      <c r="F35" s="124"/>
    </row>
    <row r="36" spans="3:6" ht="15" thickTop="1" x14ac:dyDescent="0.3"/>
    <row r="37" spans="3:6" x14ac:dyDescent="0.3">
      <c r="D37" s="30" t="s">
        <v>200</v>
      </c>
      <c r="E37" s="30"/>
      <c r="F37" s="123"/>
    </row>
  </sheetData>
  <mergeCells count="1">
    <mergeCell ref="C8:D8"/>
  </mergeCells>
  <dataValidations disablePrompts="1" count="1">
    <dataValidation type="list" allowBlank="1" showInputMessage="1" showErrorMessage="1" sqref="E35 E33" xr:uid="{00000000-0002-0000-0700-000000000000}">
      <formula1>"Sim,Não"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paperSize="9" scale="57" fitToHeight="0" orientation="landscape" r:id="rId2"/>
  <rowBreaks count="1" manualBreakCount="1">
    <brk id="38" max="16383" man="1"/>
  </rowBreak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L48"/>
  <sheetViews>
    <sheetView showGridLines="0" view="pageBreakPreview" topLeftCell="A19" zoomScaleNormal="100" zoomScaleSheetLayoutView="100" workbookViewId="0">
      <selection activeCell="I16" sqref="I16"/>
    </sheetView>
  </sheetViews>
  <sheetFormatPr defaultColWidth="8.88671875" defaultRowHeight="15" customHeight="1" x14ac:dyDescent="0.3"/>
  <cols>
    <col min="1" max="1" width="12.6640625" style="9"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7" ht="60" customHeight="1" x14ac:dyDescent="0.3">
      <c r="A1" s="9" t="s">
        <v>202</v>
      </c>
      <c r="B1" s="37"/>
      <c r="D1" s="80"/>
      <c r="E1" s="80"/>
      <c r="F1" s="80"/>
      <c r="G1" s="80"/>
    </row>
    <row r="2" spans="1:7" ht="15" customHeight="1" x14ac:dyDescent="0.3">
      <c r="A2" s="9" t="s">
        <v>203</v>
      </c>
      <c r="B2" s="37"/>
    </row>
    <row r="3" spans="1:7" ht="15" customHeight="1" x14ac:dyDescent="0.3">
      <c r="A3" s="9" t="s">
        <v>204</v>
      </c>
      <c r="B3" s="37"/>
    </row>
    <row r="4" spans="1:7" ht="15" customHeight="1" x14ac:dyDescent="0.3">
      <c r="A4" s="9" t="s">
        <v>205</v>
      </c>
      <c r="B4" s="37"/>
    </row>
    <row r="5" spans="1:7" s="4" customFormat="1" ht="15" customHeight="1" x14ac:dyDescent="0.3">
      <c r="A5" s="24" t="s">
        <v>206</v>
      </c>
      <c r="B5" s="38"/>
    </row>
    <row r="6" spans="1:7" s="4" customFormat="1" ht="15" customHeight="1" x14ac:dyDescent="0.3">
      <c r="A6" s="24" t="s">
        <v>207</v>
      </c>
      <c r="B6" s="38"/>
    </row>
    <row r="7" spans="1:7" s="4" customFormat="1" ht="15" customHeight="1" x14ac:dyDescent="0.3">
      <c r="A7" s="24" t="s">
        <v>208</v>
      </c>
      <c r="B7" s="38"/>
    </row>
    <row r="8" spans="1:7" s="4" customFormat="1" ht="15" customHeight="1" x14ac:dyDescent="0.3">
      <c r="A8" s="87" t="s">
        <v>209</v>
      </c>
      <c r="B8" s="38"/>
    </row>
    <row r="9" spans="1:7" s="4" customFormat="1" ht="15" customHeight="1" x14ac:dyDescent="0.3">
      <c r="A9" s="87" t="s">
        <v>210</v>
      </c>
      <c r="B9" s="38"/>
    </row>
    <row r="10" spans="1:7" s="4" customFormat="1" ht="15" customHeight="1" x14ac:dyDescent="0.3">
      <c r="A10" s="24" t="s">
        <v>211</v>
      </c>
      <c r="B10" s="38"/>
    </row>
    <row r="11" spans="1:7" s="4" customFormat="1" ht="15" customHeight="1" x14ac:dyDescent="0.3">
      <c r="A11" s="24" t="s">
        <v>11</v>
      </c>
      <c r="B11" s="38"/>
    </row>
    <row r="12" spans="1:7" s="4" customFormat="1" ht="15" customHeight="1" x14ac:dyDescent="0.3">
      <c r="A12" s="24" t="s">
        <v>24</v>
      </c>
      <c r="B12" s="38"/>
    </row>
    <row r="13" spans="1:7" s="4" customFormat="1" ht="15" customHeight="1" x14ac:dyDescent="0.3">
      <c r="A13" s="24" t="s">
        <v>212</v>
      </c>
      <c r="B13" s="38"/>
      <c r="C13" s="91"/>
      <c r="D13" s="94"/>
      <c r="E13" s="94"/>
      <c r="F13" s="94"/>
      <c r="G13" s="94"/>
    </row>
    <row r="14" spans="1:7" s="4" customFormat="1" ht="15" customHeight="1" x14ac:dyDescent="0.3">
      <c r="A14" s="24" t="s">
        <v>213</v>
      </c>
      <c r="B14" s="38"/>
      <c r="C14" s="94"/>
      <c r="D14" s="94"/>
      <c r="E14" s="94"/>
      <c r="F14" s="94"/>
      <c r="G14" s="94"/>
    </row>
    <row r="15" spans="1:7" s="4" customFormat="1" ht="15" customHeight="1" x14ac:dyDescent="0.3">
      <c r="A15" s="87" t="s">
        <v>214</v>
      </c>
      <c r="B15" s="38"/>
    </row>
    <row r="16" spans="1:7" s="4" customFormat="1" ht="15" customHeight="1" x14ac:dyDescent="0.3">
      <c r="A16" s="27" t="s">
        <v>215</v>
      </c>
      <c r="B16" s="38"/>
      <c r="C16" s="31" t="s">
        <v>57</v>
      </c>
      <c r="D16" s="29" t="s">
        <v>73</v>
      </c>
      <c r="E16" s="23"/>
      <c r="F16" s="28" t="s">
        <v>75</v>
      </c>
      <c r="G16" s="29" t="s">
        <v>73</v>
      </c>
    </row>
    <row r="17" spans="1:12" s="4" customFormat="1" ht="15" customHeight="1" x14ac:dyDescent="0.3">
      <c r="A17" s="24" t="s">
        <v>216</v>
      </c>
      <c r="C17" s="106" t="s">
        <v>58</v>
      </c>
      <c r="D17" s="105">
        <v>50</v>
      </c>
      <c r="E17" s="39"/>
      <c r="F17" s="106" t="s">
        <v>76</v>
      </c>
      <c r="G17" s="105">
        <v>50</v>
      </c>
      <c r="H17" s="38"/>
      <c r="I17" s="38"/>
      <c r="J17" s="38"/>
      <c r="K17" s="38"/>
      <c r="L17" s="38"/>
    </row>
    <row r="18" spans="1:12" s="4" customFormat="1" ht="15" customHeight="1" x14ac:dyDescent="0.3">
      <c r="A18" s="24" t="s">
        <v>23</v>
      </c>
      <c r="C18" s="106" t="s">
        <v>59</v>
      </c>
      <c r="D18" s="105">
        <v>20</v>
      </c>
      <c r="E18" s="39"/>
      <c r="F18" s="106" t="s">
        <v>77</v>
      </c>
      <c r="G18" s="105">
        <v>30</v>
      </c>
      <c r="H18" s="38"/>
      <c r="I18" s="38"/>
      <c r="J18" s="38"/>
      <c r="K18" s="38"/>
      <c r="L18" s="38"/>
    </row>
    <row r="19" spans="1:12" s="4" customFormat="1" ht="15" customHeight="1" x14ac:dyDescent="0.3">
      <c r="A19" s="24" t="s">
        <v>24</v>
      </c>
      <c r="C19" s="106" t="s">
        <v>60</v>
      </c>
      <c r="D19" s="105">
        <v>60</v>
      </c>
      <c r="E19" s="39"/>
      <c r="F19" s="106" t="s">
        <v>78</v>
      </c>
      <c r="G19" s="105">
        <v>10</v>
      </c>
      <c r="H19" s="38"/>
      <c r="I19" s="38"/>
      <c r="J19" s="38"/>
      <c r="K19" s="38"/>
      <c r="L19" s="38"/>
    </row>
    <row r="20" spans="1:12" s="4" customFormat="1" ht="15" customHeight="1" x14ac:dyDescent="0.3">
      <c r="A20" s="24" t="s">
        <v>25</v>
      </c>
      <c r="C20" s="106" t="s">
        <v>61</v>
      </c>
      <c r="D20" s="105">
        <v>40</v>
      </c>
      <c r="E20" s="39"/>
      <c r="F20" s="106" t="s">
        <v>79</v>
      </c>
      <c r="G20" s="105">
        <v>50</v>
      </c>
      <c r="H20" s="38"/>
      <c r="I20" s="38"/>
      <c r="J20" s="38"/>
      <c r="K20" s="38"/>
      <c r="L20" s="38"/>
    </row>
    <row r="21" spans="1:12" s="4" customFormat="1" ht="15" customHeight="1" thickBot="1" x14ac:dyDescent="0.35">
      <c r="A21" s="24" t="s">
        <v>217</v>
      </c>
      <c r="C21" s="38"/>
      <c r="D21" s="38"/>
      <c r="E21" s="38"/>
      <c r="F21" s="38"/>
      <c r="G21" s="38"/>
      <c r="H21" s="38"/>
      <c r="I21" s="38"/>
      <c r="J21" s="38"/>
      <c r="K21" s="38"/>
      <c r="L21" s="38"/>
    </row>
    <row r="22" spans="1:12" s="4" customFormat="1" ht="15" customHeight="1" thickTop="1" thickBot="1" x14ac:dyDescent="0.35">
      <c r="A22" s="24" t="s">
        <v>218</v>
      </c>
      <c r="C22" s="54" t="s">
        <v>58</v>
      </c>
      <c r="D22" s="42"/>
      <c r="E22" s="39"/>
      <c r="F22" s="54" t="s">
        <v>78</v>
      </c>
      <c r="G22" s="42"/>
      <c r="H22" s="38"/>
      <c r="I22" s="38"/>
      <c r="J22" s="38"/>
      <c r="K22" s="38"/>
      <c r="L22" s="38"/>
    </row>
    <row r="23" spans="1:12" s="4" customFormat="1" ht="15" customHeight="1" thickTop="1" x14ac:dyDescent="0.3">
      <c r="A23" s="24" t="s">
        <v>219</v>
      </c>
      <c r="C23" s="38"/>
      <c r="D23" s="39"/>
      <c r="E23" s="39"/>
      <c r="F23" s="38"/>
      <c r="G23" s="39"/>
      <c r="H23" s="38"/>
      <c r="I23" s="38"/>
      <c r="J23" s="38"/>
      <c r="K23" s="38"/>
      <c r="L23" s="38"/>
    </row>
    <row r="24" spans="1:12" s="4" customFormat="1" ht="15" customHeight="1" x14ac:dyDescent="0.3">
      <c r="A24" s="24" t="s">
        <v>220</v>
      </c>
      <c r="H24" s="38"/>
      <c r="I24" s="38"/>
      <c r="J24" s="38"/>
      <c r="K24" s="38"/>
      <c r="L24" s="38"/>
    </row>
    <row r="25" spans="1:12" s="4" customFormat="1" ht="15" customHeight="1" x14ac:dyDescent="0.3">
      <c r="A25" s="24" t="s">
        <v>30</v>
      </c>
      <c r="H25" s="38"/>
      <c r="I25" s="38"/>
      <c r="J25" s="38"/>
      <c r="K25" s="38"/>
      <c r="L25" s="38"/>
    </row>
    <row r="26" spans="1:12" ht="15" customHeight="1" x14ac:dyDescent="0.3">
      <c r="C26" s="4"/>
      <c r="E26" s="4"/>
      <c r="F26" s="4"/>
      <c r="G26" s="4"/>
      <c r="H26" s="37"/>
      <c r="I26" s="38"/>
      <c r="J26" s="38"/>
      <c r="K26" s="38"/>
      <c r="L26" s="38"/>
    </row>
    <row r="27" spans="1:12" ht="15" customHeight="1" x14ac:dyDescent="0.3">
      <c r="C27" s="4"/>
      <c r="E27" s="4"/>
      <c r="F27" s="4"/>
      <c r="G27" s="4"/>
      <c r="H27" s="37"/>
      <c r="I27" s="37"/>
      <c r="J27" s="37"/>
      <c r="K27" s="37"/>
      <c r="L27" s="37"/>
    </row>
    <row r="28" spans="1:12" ht="15" customHeight="1" x14ac:dyDescent="0.3">
      <c r="C28" s="4"/>
      <c r="E28" s="4"/>
      <c r="F28" s="4"/>
      <c r="G28" s="4"/>
      <c r="H28" s="37"/>
      <c r="I28" s="37"/>
      <c r="J28" s="37"/>
      <c r="K28" s="37"/>
      <c r="L28" s="37"/>
    </row>
    <row r="29" spans="1:12" ht="15" customHeight="1" x14ac:dyDescent="0.3">
      <c r="H29" s="37"/>
      <c r="I29" s="37"/>
      <c r="J29" s="37"/>
      <c r="K29" s="37"/>
      <c r="L29" s="37"/>
    </row>
    <row r="30" spans="1:12" ht="15" customHeight="1" x14ac:dyDescent="0.3">
      <c r="H30" s="37"/>
      <c r="I30" s="37"/>
      <c r="J30" s="37"/>
      <c r="K30" s="37"/>
      <c r="L30" s="37"/>
    </row>
    <row r="31" spans="1:12" ht="15" customHeight="1" x14ac:dyDescent="0.3">
      <c r="H31" s="37"/>
      <c r="I31" s="37"/>
      <c r="J31" s="37"/>
      <c r="K31" s="37"/>
      <c r="L31" s="37"/>
    </row>
    <row r="32" spans="1:12" ht="15" customHeight="1" x14ac:dyDescent="0.3">
      <c r="H32" s="37"/>
      <c r="I32" s="37"/>
      <c r="J32" s="37"/>
      <c r="K32" s="37"/>
      <c r="L32" s="37"/>
    </row>
    <row r="33" spans="2:7" ht="15" customHeight="1" x14ac:dyDescent="0.3">
      <c r="B33" s="37"/>
      <c r="C33" s="92"/>
      <c r="D33" s="93"/>
      <c r="E33" s="93"/>
      <c r="F33" s="93"/>
      <c r="G33" s="93"/>
    </row>
    <row r="34" spans="2:7" ht="15" customHeight="1" x14ac:dyDescent="0.3">
      <c r="B34" s="37"/>
      <c r="C34" s="93"/>
      <c r="D34" s="93"/>
      <c r="E34" s="93"/>
      <c r="F34" s="93"/>
      <c r="G34" s="93"/>
    </row>
    <row r="35" spans="2:7" ht="15" customHeight="1" x14ac:dyDescent="0.3">
      <c r="B35" s="37"/>
      <c r="C35" s="82" t="s">
        <v>98</v>
      </c>
      <c r="D35" s="80"/>
      <c r="E35" s="80"/>
      <c r="F35" s="80"/>
      <c r="G35" s="80"/>
    </row>
    <row r="36" spans="2:7" ht="15" customHeight="1" x14ac:dyDescent="0.3">
      <c r="B36" s="37"/>
      <c r="C36" s="31" t="s">
        <v>63</v>
      </c>
      <c r="D36" s="29" t="s">
        <v>73</v>
      </c>
      <c r="E36" s="23"/>
      <c r="F36" s="28" t="s">
        <v>63</v>
      </c>
      <c r="G36" s="29" t="s">
        <v>73</v>
      </c>
    </row>
    <row r="37" spans="2:7" ht="15" customHeight="1" x14ac:dyDescent="0.3">
      <c r="B37" s="37"/>
      <c r="C37" s="106" t="s">
        <v>64</v>
      </c>
      <c r="D37" s="105">
        <v>50</v>
      </c>
      <c r="E37" s="39"/>
      <c r="F37" s="106" t="s">
        <v>64</v>
      </c>
      <c r="G37" s="105">
        <v>50</v>
      </c>
    </row>
    <row r="38" spans="2:7" ht="15" customHeight="1" x14ac:dyDescent="0.3">
      <c r="B38" s="37"/>
      <c r="C38" s="106" t="s">
        <v>65</v>
      </c>
      <c r="D38" s="105">
        <v>100</v>
      </c>
      <c r="E38" s="39"/>
      <c r="F38" s="106" t="s">
        <v>65</v>
      </c>
      <c r="G38" s="105">
        <v>100</v>
      </c>
    </row>
    <row r="39" spans="2:7" ht="15" customHeight="1" x14ac:dyDescent="0.3">
      <c r="B39" s="37"/>
      <c r="C39" s="106" t="s">
        <v>66</v>
      </c>
      <c r="D39" s="105">
        <v>40</v>
      </c>
      <c r="E39" s="39"/>
      <c r="F39" s="106" t="s">
        <v>66</v>
      </c>
      <c r="G39" s="105">
        <v>40</v>
      </c>
    </row>
    <row r="40" spans="2:7" ht="15" customHeight="1" x14ac:dyDescent="0.3">
      <c r="C40" s="106" t="s">
        <v>67</v>
      </c>
      <c r="D40" s="105">
        <v>50</v>
      </c>
      <c r="E40" s="39"/>
      <c r="F40" s="106" t="s">
        <v>67</v>
      </c>
      <c r="G40" s="105">
        <v>50</v>
      </c>
    </row>
    <row r="41" spans="2:7" ht="15" customHeight="1" x14ac:dyDescent="0.3">
      <c r="C41" s="106" t="s">
        <v>68</v>
      </c>
      <c r="D41" s="105">
        <v>20</v>
      </c>
      <c r="E41" s="39"/>
      <c r="F41" s="106" t="s">
        <v>68</v>
      </c>
      <c r="G41" s="105">
        <v>20</v>
      </c>
    </row>
    <row r="42" spans="2:7" ht="15" customHeight="1" thickBot="1" x14ac:dyDescent="0.35">
      <c r="C42" s="38"/>
      <c r="D42" s="38"/>
      <c r="E42" s="38"/>
      <c r="F42" s="38"/>
      <c r="G42" s="38"/>
    </row>
    <row r="43" spans="2:7" ht="15" customHeight="1" thickTop="1" thickBot="1" x14ac:dyDescent="0.35">
      <c r="B43" s="37"/>
      <c r="C43" s="54"/>
      <c r="D43" s="42"/>
      <c r="E43" s="39"/>
      <c r="F43" s="84" t="s">
        <v>221</v>
      </c>
      <c r="G43" s="42" t="str">
        <f>IFERROR(VLOOKUP(F43,F37:G41,2,FALSE),"")</f>
        <v/>
      </c>
    </row>
    <row r="44" spans="2:7" ht="15" customHeight="1" thickTop="1" x14ac:dyDescent="0.3">
      <c r="B44" s="37"/>
      <c r="C44" s="37"/>
      <c r="D44" s="38"/>
      <c r="E44" s="37"/>
      <c r="F44" s="37"/>
      <c r="G44" s="37"/>
    </row>
    <row r="45" spans="2:7" ht="15" customHeight="1" x14ac:dyDescent="0.3">
      <c r="B45" s="37"/>
      <c r="C45" s="37"/>
      <c r="D45" s="38"/>
      <c r="E45" s="37"/>
      <c r="F45" s="37"/>
      <c r="G45" s="37"/>
    </row>
    <row r="46" spans="2:7" ht="15" customHeight="1" x14ac:dyDescent="0.3">
      <c r="B46" s="37"/>
      <c r="C46" s="37"/>
      <c r="D46" s="38"/>
      <c r="E46" s="37"/>
      <c r="F46" s="37"/>
      <c r="G46" s="37"/>
    </row>
    <row r="47" spans="2:7" ht="15" customHeight="1" x14ac:dyDescent="0.3">
      <c r="B47" s="37"/>
      <c r="C47" s="37"/>
      <c r="D47" s="38"/>
      <c r="E47" s="37"/>
      <c r="F47" s="37"/>
      <c r="G47" s="37"/>
    </row>
    <row r="48" spans="2:7" ht="15" customHeight="1" x14ac:dyDescent="0.3">
      <c r="B48" s="37"/>
      <c r="C48" s="37"/>
      <c r="D48" s="38"/>
      <c r="E48" s="37"/>
      <c r="F48" s="37"/>
      <c r="G48" s="37"/>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paperSize="9" scale="58" fitToHeight="0" orientation="landscape" r:id="rId1"/>
  <rowBreaks count="1" manualBreakCount="1">
    <brk id="33"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pageSetUpPr fitToPage="1"/>
  </sheetPr>
  <dimension ref="A1:AH124"/>
  <sheetViews>
    <sheetView showGridLines="0" view="pageBreakPreview" topLeftCell="A123" zoomScaleNormal="100" zoomScaleSheetLayoutView="100" workbookViewId="0">
      <selection activeCell="I16" sqref="I16"/>
    </sheetView>
  </sheetViews>
  <sheetFormatPr defaultColWidth="8.88671875" defaultRowHeight="14.4" x14ac:dyDescent="0.3"/>
  <cols>
    <col min="1" max="1" width="12.6640625" style="9" customWidth="1"/>
    <col min="2" max="2" width="82.88671875" style="22" customWidth="1"/>
    <col min="3" max="3" width="12.6640625" style="18" customWidth="1"/>
    <col min="4" max="4" width="16.44140625" style="18" bestFit="1" customWidth="1"/>
    <col min="5" max="5" width="12.44140625" style="18" bestFit="1" customWidth="1"/>
    <col min="6" max="6" width="12.6640625" style="18" customWidth="1"/>
    <col min="7" max="7" width="16.44140625" style="18" bestFit="1" customWidth="1"/>
    <col min="8" max="8" width="12.6640625" style="18" customWidth="1"/>
    <col min="9" max="25" width="8.88671875" style="18"/>
    <col min="26" max="26" width="8.88671875" style="18" hidden="1" customWidth="1"/>
    <col min="27" max="27" width="2.33203125" style="18" hidden="1" customWidth="1"/>
    <col min="28" max="28" width="11" style="18" hidden="1" customWidth="1"/>
    <col min="29" max="29" width="2.33203125" style="18" hidden="1" customWidth="1"/>
    <col min="30" max="30" width="11" style="18" hidden="1" customWidth="1"/>
    <col min="31" max="31" width="2.33203125" style="18" hidden="1" customWidth="1"/>
    <col min="32" max="32" width="11" style="18" hidden="1" customWidth="1"/>
    <col min="33" max="33" width="2.33203125" style="18" hidden="1" customWidth="1"/>
    <col min="34" max="34" width="11" style="18" hidden="1" customWidth="1"/>
    <col min="35" max="16384" width="8.88671875" style="18"/>
  </cols>
  <sheetData>
    <row r="1" spans="1:34" ht="60" customHeight="1" x14ac:dyDescent="0.3">
      <c r="A1" s="25" t="s">
        <v>222</v>
      </c>
      <c r="B1" s="9"/>
      <c r="C1" s="69"/>
      <c r="D1" s="80"/>
      <c r="E1" s="80"/>
      <c r="F1" s="80"/>
      <c r="G1" s="80"/>
      <c r="H1" s="80"/>
      <c r="I1" s="37"/>
      <c r="J1" s="37"/>
      <c r="K1" s="37"/>
      <c r="L1" s="37"/>
      <c r="M1" s="37"/>
      <c r="N1" s="37"/>
      <c r="O1" s="37"/>
      <c r="P1" s="37"/>
      <c r="Q1" s="37"/>
      <c r="R1" s="37"/>
      <c r="S1" s="37"/>
      <c r="T1" s="37"/>
      <c r="U1" s="37"/>
      <c r="V1" s="37"/>
      <c r="W1" s="37"/>
      <c r="X1" s="37"/>
      <c r="Y1" s="37"/>
      <c r="Z1" s="37"/>
      <c r="AA1" s="37"/>
      <c r="AB1" s="37"/>
      <c r="AC1" s="37"/>
      <c r="AD1" s="37"/>
      <c r="AE1" s="37"/>
      <c r="AF1" s="37"/>
      <c r="AG1" s="37"/>
      <c r="AH1" s="37"/>
    </row>
    <row r="2" spans="1:34" ht="15" customHeight="1" x14ac:dyDescent="0.3">
      <c r="A2" s="25" t="s">
        <v>223</v>
      </c>
      <c r="B2" s="9"/>
      <c r="C2" s="7" t="s">
        <v>57</v>
      </c>
      <c r="D2" s="8" t="s">
        <v>73</v>
      </c>
      <c r="E2" s="39"/>
      <c r="F2" s="7" t="s">
        <v>57</v>
      </c>
      <c r="G2" s="7" t="s">
        <v>263</v>
      </c>
      <c r="H2" s="8" t="s">
        <v>73</v>
      </c>
      <c r="I2" s="37"/>
      <c r="J2" s="37"/>
      <c r="K2" s="37"/>
      <c r="L2" s="37"/>
      <c r="M2" s="37"/>
      <c r="N2" s="37"/>
      <c r="O2" s="37"/>
      <c r="P2" s="37"/>
      <c r="Q2" s="37"/>
      <c r="R2" s="37"/>
      <c r="S2" s="37"/>
      <c r="T2" s="37"/>
      <c r="U2" s="37"/>
      <c r="V2" s="37"/>
      <c r="W2" s="37"/>
      <c r="X2" s="37"/>
      <c r="Y2" s="37"/>
      <c r="Z2" s="7" t="s">
        <v>57</v>
      </c>
      <c r="AA2" s="37"/>
      <c r="AB2" s="7" t="s">
        <v>58</v>
      </c>
      <c r="AC2" s="37"/>
      <c r="AD2" s="7" t="s">
        <v>59</v>
      </c>
      <c r="AE2" s="37"/>
      <c r="AF2" s="7" t="s">
        <v>60</v>
      </c>
      <c r="AG2" s="37"/>
      <c r="AH2" s="7" t="s">
        <v>61</v>
      </c>
    </row>
    <row r="3" spans="1:34" ht="15" customHeight="1" x14ac:dyDescent="0.3">
      <c r="A3" s="25" t="s">
        <v>224</v>
      </c>
      <c r="B3" s="9"/>
      <c r="C3" s="104" t="s">
        <v>58</v>
      </c>
      <c r="D3" s="105">
        <v>50</v>
      </c>
      <c r="E3" s="39"/>
      <c r="F3" s="104" t="s">
        <v>58</v>
      </c>
      <c r="G3" s="104" t="s">
        <v>264</v>
      </c>
      <c r="H3" s="105">
        <v>50</v>
      </c>
      <c r="I3" s="37"/>
      <c r="J3" s="37"/>
      <c r="K3" s="37"/>
      <c r="L3" s="37"/>
      <c r="M3" s="37"/>
      <c r="N3" s="37"/>
      <c r="O3" s="37"/>
      <c r="P3" s="37"/>
      <c r="Q3" s="37"/>
      <c r="R3" s="37"/>
      <c r="S3" s="37"/>
      <c r="T3" s="37"/>
      <c r="U3" s="37"/>
      <c r="V3" s="37"/>
      <c r="W3" s="37"/>
      <c r="X3" s="37"/>
      <c r="Y3" s="37"/>
      <c r="Z3" s="40" t="s">
        <v>58</v>
      </c>
      <c r="AA3" s="37"/>
      <c r="AB3" s="40" t="s">
        <v>264</v>
      </c>
      <c r="AC3" s="37"/>
      <c r="AD3" s="40" t="s">
        <v>265</v>
      </c>
      <c r="AE3" s="37"/>
      <c r="AF3" s="40" t="s">
        <v>266</v>
      </c>
      <c r="AG3" s="37"/>
      <c r="AH3" s="40" t="s">
        <v>267</v>
      </c>
    </row>
    <row r="4" spans="1:34" ht="15" customHeight="1" x14ac:dyDescent="0.3">
      <c r="A4" s="25" t="s">
        <v>225</v>
      </c>
      <c r="B4" s="9"/>
      <c r="C4" s="104" t="s">
        <v>59</v>
      </c>
      <c r="D4" s="105">
        <v>20</v>
      </c>
      <c r="E4" s="39"/>
      <c r="F4" s="104" t="s">
        <v>59</v>
      </c>
      <c r="G4" s="104" t="s">
        <v>265</v>
      </c>
      <c r="H4" s="105">
        <v>20</v>
      </c>
      <c r="I4" s="37"/>
      <c r="J4" s="5"/>
      <c r="K4" s="5"/>
      <c r="L4" s="5"/>
      <c r="M4" s="5"/>
      <c r="N4" s="5"/>
      <c r="O4" s="37"/>
      <c r="P4" s="37"/>
      <c r="Q4" s="37"/>
      <c r="R4" s="37"/>
      <c r="S4" s="37"/>
      <c r="T4" s="37"/>
      <c r="U4" s="37"/>
      <c r="V4" s="37"/>
      <c r="W4" s="37"/>
      <c r="X4" s="37"/>
      <c r="Y4" s="37"/>
      <c r="Z4" s="40" t="s">
        <v>59</v>
      </c>
      <c r="AA4" s="37"/>
      <c r="AB4" s="40" t="s">
        <v>268</v>
      </c>
      <c r="AC4" s="37"/>
      <c r="AD4" s="40" t="s">
        <v>269</v>
      </c>
      <c r="AE4" s="37"/>
      <c r="AF4" s="40" t="s">
        <v>270</v>
      </c>
      <c r="AG4" s="37"/>
      <c r="AH4" s="40" t="s">
        <v>271</v>
      </c>
    </row>
    <row r="5" spans="1:34" s="20" customFormat="1" ht="15" customHeight="1" x14ac:dyDescent="0.35">
      <c r="A5" s="25" t="s">
        <v>226</v>
      </c>
      <c r="B5" s="38"/>
      <c r="C5" s="104" t="s">
        <v>60</v>
      </c>
      <c r="D5" s="105">
        <v>60</v>
      </c>
      <c r="E5" s="39"/>
      <c r="F5" s="104" t="s">
        <v>60</v>
      </c>
      <c r="G5" s="104" t="s">
        <v>266</v>
      </c>
      <c r="H5" s="105">
        <v>60</v>
      </c>
      <c r="I5" s="37"/>
      <c r="J5" s="5"/>
      <c r="K5" s="19"/>
      <c r="L5" s="5"/>
      <c r="M5" s="5"/>
      <c r="N5" s="5"/>
      <c r="O5" s="37"/>
      <c r="P5" s="37"/>
      <c r="Q5" s="38"/>
      <c r="R5" s="38"/>
      <c r="S5" s="38"/>
      <c r="T5" s="38"/>
      <c r="U5" s="38"/>
      <c r="V5" s="38"/>
      <c r="W5" s="38"/>
      <c r="X5" s="38"/>
      <c r="Y5" s="38"/>
      <c r="Z5" s="40" t="s">
        <v>60</v>
      </c>
      <c r="AA5" s="38"/>
      <c r="AB5" s="38"/>
      <c r="AC5" s="38"/>
      <c r="AD5" s="38"/>
      <c r="AE5" s="38"/>
      <c r="AF5" s="38"/>
      <c r="AG5" s="38"/>
      <c r="AH5" s="38"/>
    </row>
    <row r="6" spans="1:34" s="20" customFormat="1" ht="15" customHeight="1" x14ac:dyDescent="0.3">
      <c r="A6" s="25" t="s">
        <v>227</v>
      </c>
      <c r="B6" s="38"/>
      <c r="C6" s="104" t="s">
        <v>61</v>
      </c>
      <c r="D6" s="105">
        <v>40</v>
      </c>
      <c r="E6" s="39"/>
      <c r="F6" s="104" t="s">
        <v>61</v>
      </c>
      <c r="G6" s="104" t="s">
        <v>267</v>
      </c>
      <c r="H6" s="105">
        <v>40</v>
      </c>
      <c r="I6" s="37"/>
      <c r="J6" s="37"/>
      <c r="K6" s="37"/>
      <c r="L6" s="37"/>
      <c r="M6" s="37"/>
      <c r="N6" s="5"/>
      <c r="O6" s="37"/>
      <c r="P6" s="37"/>
      <c r="Q6" s="38"/>
      <c r="R6" s="38"/>
      <c r="S6" s="38"/>
      <c r="T6" s="38"/>
      <c r="U6" s="38"/>
      <c r="V6" s="38"/>
      <c r="W6" s="38"/>
      <c r="X6" s="38"/>
      <c r="Y6" s="38"/>
      <c r="Z6" s="40" t="s">
        <v>61</v>
      </c>
      <c r="AA6" s="38"/>
      <c r="AB6" s="38"/>
      <c r="AC6" s="38"/>
      <c r="AD6" s="38"/>
      <c r="AE6" s="38"/>
      <c r="AF6" s="38"/>
      <c r="AG6" s="38"/>
      <c r="AH6" s="38"/>
    </row>
    <row r="7" spans="1:34" s="20" customFormat="1" ht="15" customHeight="1" x14ac:dyDescent="0.3">
      <c r="A7" s="25" t="s">
        <v>228</v>
      </c>
      <c r="B7" s="38"/>
      <c r="C7" s="104" t="s">
        <v>58</v>
      </c>
      <c r="D7" s="105">
        <v>50</v>
      </c>
      <c r="E7" s="39"/>
      <c r="F7" s="104" t="s">
        <v>58</v>
      </c>
      <c r="G7" s="104" t="s">
        <v>268</v>
      </c>
      <c r="H7" s="105">
        <v>50</v>
      </c>
      <c r="I7" s="38"/>
      <c r="J7" s="38"/>
      <c r="K7" s="38"/>
      <c r="L7" s="38"/>
      <c r="M7" s="38"/>
      <c r="N7" s="5"/>
      <c r="O7" s="38"/>
      <c r="P7" s="38"/>
      <c r="Q7" s="38"/>
      <c r="R7" s="38"/>
      <c r="S7" s="38"/>
      <c r="T7" s="38"/>
      <c r="U7" s="38"/>
      <c r="V7" s="38"/>
      <c r="W7" s="38"/>
      <c r="X7" s="38"/>
      <c r="Y7" s="38"/>
      <c r="Z7" s="38"/>
      <c r="AA7" s="38"/>
      <c r="AB7" s="38"/>
      <c r="AC7" s="38"/>
      <c r="AD7" s="38"/>
      <c r="AE7" s="38"/>
      <c r="AF7" s="38"/>
      <c r="AG7" s="38"/>
      <c r="AH7" s="38"/>
    </row>
    <row r="8" spans="1:34" s="20" customFormat="1" ht="15" customHeight="1" x14ac:dyDescent="0.3">
      <c r="A8" s="25" t="s">
        <v>229</v>
      </c>
      <c r="B8" s="38"/>
      <c r="C8" s="104" t="s">
        <v>59</v>
      </c>
      <c r="D8" s="105">
        <v>20</v>
      </c>
      <c r="E8" s="39"/>
      <c r="F8" s="104" t="s">
        <v>59</v>
      </c>
      <c r="G8" s="104" t="s">
        <v>269</v>
      </c>
      <c r="H8" s="105">
        <v>20</v>
      </c>
      <c r="I8" s="38"/>
      <c r="J8" s="38"/>
      <c r="K8" s="38"/>
      <c r="L8" s="38"/>
      <c r="M8" s="38"/>
      <c r="N8" s="5"/>
      <c r="O8" s="38"/>
      <c r="P8" s="38"/>
      <c r="Q8" s="38"/>
      <c r="R8" s="38"/>
      <c r="S8" s="38"/>
      <c r="T8" s="38"/>
      <c r="U8" s="38"/>
      <c r="V8" s="38"/>
      <c r="W8" s="38"/>
      <c r="X8" s="38"/>
      <c r="Y8" s="38"/>
      <c r="Z8" s="38"/>
      <c r="AA8" s="38"/>
      <c r="AB8" s="38"/>
      <c r="AC8" s="38"/>
      <c r="AD8" s="38"/>
      <c r="AE8" s="38"/>
      <c r="AF8" s="38"/>
      <c r="AG8" s="38"/>
      <c r="AH8" s="38"/>
    </row>
    <row r="9" spans="1:34" s="20" customFormat="1" ht="15" customHeight="1" x14ac:dyDescent="0.3">
      <c r="A9" s="25" t="s">
        <v>230</v>
      </c>
      <c r="B9" s="38"/>
      <c r="C9" s="104" t="s">
        <v>60</v>
      </c>
      <c r="D9" s="105">
        <v>60</v>
      </c>
      <c r="E9" s="39"/>
      <c r="F9" s="104" t="s">
        <v>60</v>
      </c>
      <c r="G9" s="104" t="s">
        <v>270</v>
      </c>
      <c r="H9" s="105">
        <v>60</v>
      </c>
      <c r="I9" s="38"/>
      <c r="J9" s="38"/>
      <c r="K9" s="38"/>
      <c r="L9" s="38"/>
      <c r="M9" s="38"/>
      <c r="N9" s="5"/>
      <c r="O9" s="38"/>
      <c r="P9" s="38"/>
      <c r="Q9" s="38"/>
      <c r="R9" s="38"/>
      <c r="S9" s="38"/>
      <c r="T9" s="38"/>
      <c r="U9" s="38"/>
      <c r="V9" s="38"/>
      <c r="W9" s="38"/>
      <c r="X9" s="38"/>
      <c r="Y9" s="38"/>
      <c r="Z9" s="38"/>
      <c r="AA9" s="38"/>
      <c r="AB9" s="38"/>
      <c r="AC9" s="38"/>
      <c r="AD9" s="38"/>
      <c r="AE9" s="38"/>
      <c r="AF9" s="38"/>
      <c r="AG9" s="38"/>
      <c r="AH9" s="38"/>
    </row>
    <row r="10" spans="1:34" s="20" customFormat="1" ht="15" customHeight="1" x14ac:dyDescent="0.3">
      <c r="A10" s="25" t="s">
        <v>231</v>
      </c>
      <c r="B10" s="38"/>
      <c r="C10" s="104" t="s">
        <v>61</v>
      </c>
      <c r="D10" s="105">
        <v>40</v>
      </c>
      <c r="E10" s="39"/>
      <c r="F10" s="104" t="s">
        <v>61</v>
      </c>
      <c r="G10" s="104" t="s">
        <v>271</v>
      </c>
      <c r="H10" s="105">
        <v>40</v>
      </c>
      <c r="I10" s="38"/>
      <c r="J10" s="5"/>
      <c r="K10" s="5"/>
      <c r="L10" s="5"/>
      <c r="M10" s="5"/>
      <c r="N10" s="5"/>
      <c r="O10" s="38"/>
      <c r="P10" s="38"/>
      <c r="Q10" s="38"/>
      <c r="R10" s="38"/>
      <c r="S10" s="38"/>
      <c r="T10" s="38"/>
      <c r="U10" s="38"/>
      <c r="V10" s="38"/>
      <c r="W10" s="38"/>
      <c r="X10" s="38"/>
      <c r="Y10" s="38"/>
      <c r="Z10" s="38"/>
      <c r="AA10" s="38"/>
      <c r="AB10" s="38"/>
      <c r="AC10" s="38"/>
      <c r="AD10" s="38"/>
      <c r="AE10" s="38"/>
      <c r="AF10" s="38"/>
      <c r="AG10" s="38"/>
      <c r="AH10" s="38"/>
    </row>
    <row r="11" spans="1:34" s="20" customFormat="1" ht="15" customHeight="1" x14ac:dyDescent="0.3">
      <c r="A11" s="25" t="s">
        <v>232</v>
      </c>
      <c r="B11" s="38"/>
      <c r="C11" s="104" t="s">
        <v>58</v>
      </c>
      <c r="D11" s="105">
        <v>50</v>
      </c>
      <c r="E11" s="39"/>
      <c r="F11" s="104" t="s">
        <v>58</v>
      </c>
      <c r="G11" s="104" t="s">
        <v>268</v>
      </c>
      <c r="H11" s="105">
        <v>50</v>
      </c>
      <c r="I11" s="38"/>
      <c r="J11" s="43"/>
      <c r="K11" s="10"/>
      <c r="L11" s="5"/>
      <c r="M11" s="5"/>
      <c r="N11" s="5"/>
      <c r="O11" s="38"/>
      <c r="P11" s="38"/>
      <c r="Q11" s="38"/>
      <c r="R11" s="38"/>
      <c r="S11" s="38"/>
      <c r="T11" s="38"/>
      <c r="U11" s="38"/>
      <c r="V11" s="38"/>
      <c r="W11" s="38"/>
      <c r="X11" s="38"/>
      <c r="Y11" s="38"/>
      <c r="Z11" s="38"/>
      <c r="AA11" s="38"/>
      <c r="AB11" s="38"/>
      <c r="AC11" s="38"/>
      <c r="AD11" s="38"/>
      <c r="AE11" s="38"/>
      <c r="AF11" s="38"/>
      <c r="AG11" s="38"/>
      <c r="AH11" s="38"/>
    </row>
    <row r="12" spans="1:34" s="20" customFormat="1" ht="15" customHeight="1" x14ac:dyDescent="0.3">
      <c r="A12" s="25" t="s">
        <v>233</v>
      </c>
      <c r="B12" s="38"/>
      <c r="C12" s="104" t="s">
        <v>59</v>
      </c>
      <c r="D12" s="105">
        <v>20</v>
      </c>
      <c r="E12" s="39"/>
      <c r="F12" s="104" t="s">
        <v>59</v>
      </c>
      <c r="G12" s="104" t="s">
        <v>269</v>
      </c>
      <c r="H12" s="105">
        <v>20</v>
      </c>
      <c r="I12" s="38"/>
      <c r="J12" s="43"/>
      <c r="K12" s="6"/>
      <c r="L12" s="5"/>
      <c r="M12" s="5"/>
      <c r="N12" s="5"/>
      <c r="O12" s="38"/>
      <c r="P12" s="38"/>
      <c r="Q12" s="38"/>
      <c r="R12" s="38"/>
      <c r="S12" s="38"/>
      <c r="T12" s="38"/>
      <c r="U12" s="38"/>
      <c r="V12" s="38"/>
      <c r="W12" s="38"/>
      <c r="X12" s="38"/>
      <c r="Y12" s="38"/>
      <c r="Z12" s="38"/>
      <c r="AA12" s="38"/>
      <c r="AB12" s="38"/>
      <c r="AC12" s="38"/>
      <c r="AD12" s="38"/>
      <c r="AE12" s="38"/>
      <c r="AF12" s="38"/>
      <c r="AG12" s="38"/>
      <c r="AH12" s="38"/>
    </row>
    <row r="13" spans="1:34" s="20" customFormat="1" ht="15" customHeight="1" x14ac:dyDescent="0.3">
      <c r="A13" s="27" t="s">
        <v>234</v>
      </c>
      <c r="B13" s="38"/>
      <c r="C13" s="104" t="s">
        <v>60</v>
      </c>
      <c r="D13" s="105">
        <v>60</v>
      </c>
      <c r="E13" s="39"/>
      <c r="F13" s="104" t="s">
        <v>60</v>
      </c>
      <c r="G13" s="104" t="s">
        <v>266</v>
      </c>
      <c r="H13" s="105">
        <v>60</v>
      </c>
      <c r="I13" s="38"/>
      <c r="J13" s="43"/>
      <c r="K13" s="6"/>
      <c r="L13" s="5"/>
      <c r="M13" s="5"/>
      <c r="N13" s="5"/>
      <c r="O13" s="38"/>
      <c r="P13" s="38"/>
      <c r="Q13" s="38"/>
      <c r="R13" s="38"/>
      <c r="S13" s="38"/>
      <c r="T13" s="38"/>
      <c r="U13" s="38"/>
      <c r="V13" s="38"/>
      <c r="W13" s="38"/>
      <c r="X13" s="38"/>
      <c r="Y13" s="38"/>
      <c r="Z13" s="38"/>
      <c r="AA13" s="38"/>
      <c r="AB13" s="38"/>
      <c r="AC13" s="38"/>
      <c r="AD13" s="38"/>
      <c r="AE13" s="38"/>
      <c r="AF13" s="38"/>
      <c r="AG13" s="38"/>
      <c r="AH13" s="38"/>
    </row>
    <row r="14" spans="1:34" s="20" customFormat="1" ht="15" customHeight="1" x14ac:dyDescent="0.3">
      <c r="A14" s="26" t="s">
        <v>235</v>
      </c>
      <c r="B14" s="38"/>
      <c r="C14" s="104" t="s">
        <v>61</v>
      </c>
      <c r="D14" s="105">
        <v>40</v>
      </c>
      <c r="E14" s="39"/>
      <c r="F14" s="104" t="s">
        <v>61</v>
      </c>
      <c r="G14" s="104" t="s">
        <v>271</v>
      </c>
      <c r="H14" s="105">
        <v>40</v>
      </c>
      <c r="I14" s="38"/>
      <c r="J14" s="43"/>
      <c r="K14" s="44"/>
      <c r="L14" s="5"/>
      <c r="M14" s="5"/>
      <c r="N14" s="5"/>
      <c r="O14" s="38"/>
      <c r="P14" s="38"/>
      <c r="Q14" s="38"/>
      <c r="R14" s="38"/>
      <c r="S14" s="38"/>
      <c r="T14" s="38"/>
      <c r="U14" s="38"/>
      <c r="V14" s="38"/>
      <c r="W14" s="38"/>
      <c r="X14" s="38"/>
      <c r="Y14" s="38"/>
      <c r="Z14" s="38"/>
      <c r="AA14" s="38"/>
      <c r="AB14" s="38"/>
      <c r="AC14" s="38"/>
      <c r="AD14" s="38"/>
      <c r="AE14" s="38"/>
      <c r="AF14" s="38"/>
      <c r="AG14" s="38"/>
      <c r="AH14" s="38"/>
    </row>
    <row r="15" spans="1:34" s="20" customFormat="1" ht="15" customHeight="1" x14ac:dyDescent="0.3">
      <c r="A15" s="27" t="s">
        <v>236</v>
      </c>
      <c r="B15" s="38"/>
      <c r="C15" s="21"/>
      <c r="D15" s="21"/>
      <c r="E15" s="21"/>
      <c r="F15" s="21"/>
      <c r="G15" s="21"/>
      <c r="H15" s="21"/>
      <c r="I15" s="38"/>
      <c r="J15" s="43"/>
      <c r="K15" s="45"/>
      <c r="L15" s="5"/>
      <c r="M15" s="5"/>
      <c r="N15" s="5"/>
      <c r="O15" s="38"/>
      <c r="P15" s="38"/>
      <c r="Q15" s="38"/>
      <c r="R15" s="38"/>
      <c r="S15" s="38"/>
      <c r="T15" s="38"/>
      <c r="U15" s="38"/>
      <c r="V15" s="38"/>
      <c r="W15" s="38"/>
      <c r="X15" s="38"/>
      <c r="Y15" s="38"/>
      <c r="Z15" s="38"/>
      <c r="AA15" s="38"/>
      <c r="AB15" s="38"/>
      <c r="AC15" s="38"/>
      <c r="AD15" s="38"/>
      <c r="AE15" s="38"/>
      <c r="AF15" s="38"/>
      <c r="AG15" s="38"/>
      <c r="AH15" s="38"/>
    </row>
    <row r="16" spans="1:34" s="20" customFormat="1" ht="15" customHeight="1" thickBot="1" x14ac:dyDescent="0.35">
      <c r="A16" s="25" t="s">
        <v>11</v>
      </c>
      <c r="B16" s="38"/>
      <c r="C16" s="38" t="s">
        <v>57</v>
      </c>
      <c r="D16" s="23" t="s">
        <v>261</v>
      </c>
      <c r="E16" s="39"/>
      <c r="F16" s="38" t="s">
        <v>57</v>
      </c>
      <c r="G16" s="38" t="s">
        <v>263</v>
      </c>
      <c r="H16" s="23" t="s">
        <v>273</v>
      </c>
      <c r="I16" s="38"/>
      <c r="J16" s="43"/>
      <c r="K16" s="10"/>
      <c r="L16" s="5"/>
      <c r="M16" s="5"/>
      <c r="N16" s="5"/>
      <c r="O16" s="38"/>
      <c r="P16" s="38"/>
      <c r="Q16" s="38"/>
      <c r="R16" s="38"/>
      <c r="S16" s="38"/>
      <c r="T16" s="38"/>
      <c r="U16" s="38"/>
      <c r="V16" s="38"/>
      <c r="W16" s="38"/>
      <c r="X16" s="38"/>
      <c r="Y16" s="38"/>
      <c r="Z16" s="38"/>
      <c r="AA16" s="38"/>
      <c r="AB16" s="38"/>
      <c r="AC16" s="38"/>
      <c r="AD16" s="38"/>
      <c r="AE16" s="38"/>
      <c r="AF16" s="38"/>
      <c r="AG16" s="38"/>
      <c r="AH16" s="38"/>
    </row>
    <row r="17" spans="1:34" s="20" customFormat="1" ht="15" customHeight="1" thickTop="1" thickBot="1" x14ac:dyDescent="0.35">
      <c r="A17" s="25" t="s">
        <v>12</v>
      </c>
      <c r="B17" s="38"/>
      <c r="C17" s="46" t="s">
        <v>58</v>
      </c>
      <c r="D17" s="47"/>
      <c r="E17" s="39"/>
      <c r="F17" s="46" t="s">
        <v>59</v>
      </c>
      <c r="G17" s="46" t="s">
        <v>265</v>
      </c>
      <c r="H17" s="42"/>
      <c r="I17" s="38"/>
      <c r="J17" s="48"/>
      <c r="K17" s="6"/>
      <c r="L17" s="5"/>
      <c r="M17" s="5"/>
      <c r="N17" s="5"/>
      <c r="O17" s="38"/>
      <c r="P17" s="38"/>
      <c r="Q17" s="38"/>
      <c r="R17" s="38"/>
      <c r="S17" s="38"/>
      <c r="T17" s="38"/>
      <c r="U17" s="38"/>
      <c r="V17" s="38"/>
      <c r="W17" s="38"/>
      <c r="X17" s="38"/>
      <c r="Y17" s="38"/>
      <c r="Z17" s="38"/>
      <c r="AA17" s="38"/>
      <c r="AB17" s="38"/>
      <c r="AC17" s="38"/>
      <c r="AD17" s="38"/>
      <c r="AE17" s="38"/>
      <c r="AF17" s="38"/>
      <c r="AG17" s="38"/>
      <c r="AH17" s="38"/>
    </row>
    <row r="18" spans="1:34" s="20" customFormat="1" ht="15" customHeight="1" thickTop="1" x14ac:dyDescent="0.3">
      <c r="A18" s="25" t="s">
        <v>237</v>
      </c>
      <c r="B18" s="38"/>
      <c r="C18" s="38"/>
      <c r="D18" s="38"/>
      <c r="E18" s="39"/>
      <c r="F18" s="38"/>
      <c r="G18" s="38"/>
      <c r="H18" s="38"/>
      <c r="I18" s="38"/>
      <c r="J18" s="43"/>
      <c r="K18" s="44"/>
      <c r="L18" s="5"/>
      <c r="M18" s="5"/>
      <c r="N18" s="5"/>
      <c r="O18" s="38"/>
      <c r="P18" s="38"/>
      <c r="Q18" s="38"/>
      <c r="R18" s="38"/>
      <c r="S18" s="38"/>
      <c r="T18" s="38"/>
      <c r="U18" s="38"/>
      <c r="V18" s="38"/>
      <c r="W18" s="38"/>
      <c r="X18" s="38"/>
      <c r="Y18" s="38"/>
      <c r="Z18" s="38"/>
      <c r="AA18" s="38"/>
      <c r="AB18" s="38"/>
      <c r="AC18" s="38"/>
      <c r="AD18" s="38"/>
      <c r="AE18" s="38"/>
      <c r="AF18" s="38"/>
      <c r="AG18" s="38"/>
      <c r="AH18" s="38"/>
    </row>
    <row r="19" spans="1:34" s="20" customFormat="1" ht="15" customHeight="1" x14ac:dyDescent="0.3">
      <c r="A19" s="25" t="s">
        <v>238</v>
      </c>
      <c r="B19" s="38"/>
      <c r="C19" s="1"/>
      <c r="D19" s="1"/>
      <c r="E19" s="1"/>
      <c r="F19" s="1"/>
      <c r="G19" s="1"/>
      <c r="H19" s="1"/>
      <c r="I19" s="38"/>
      <c r="J19" s="43"/>
      <c r="K19" s="45"/>
      <c r="L19" s="5"/>
      <c r="M19" s="5"/>
      <c r="N19" s="38"/>
      <c r="O19" s="38"/>
      <c r="P19" s="38"/>
      <c r="Q19" s="38"/>
      <c r="R19" s="38"/>
      <c r="S19" s="38"/>
      <c r="T19" s="38"/>
      <c r="U19" s="38"/>
      <c r="V19" s="38"/>
      <c r="W19" s="38"/>
      <c r="X19" s="38"/>
      <c r="Y19" s="38"/>
      <c r="Z19" s="38"/>
      <c r="AA19" s="38"/>
      <c r="AB19" s="38"/>
      <c r="AC19" s="38"/>
      <c r="AD19" s="38"/>
      <c r="AE19" s="38"/>
      <c r="AF19" s="38"/>
      <c r="AG19" s="38"/>
      <c r="AH19" s="38"/>
    </row>
    <row r="20" spans="1:34" s="20" customFormat="1" ht="15" customHeight="1" x14ac:dyDescent="0.3">
      <c r="A20" s="25" t="s">
        <v>239</v>
      </c>
      <c r="B20" s="38"/>
      <c r="C20" s="1"/>
      <c r="D20" s="1"/>
      <c r="E20" s="1"/>
      <c r="F20" s="1"/>
      <c r="G20" s="1"/>
      <c r="H20" s="1"/>
      <c r="I20" s="38"/>
      <c r="J20" s="48"/>
      <c r="K20" s="10"/>
      <c r="L20" s="38"/>
      <c r="M20" s="5"/>
      <c r="N20" s="38"/>
      <c r="O20" s="38"/>
      <c r="P20" s="38"/>
      <c r="Q20" s="38"/>
      <c r="R20" s="38"/>
      <c r="S20" s="38"/>
      <c r="T20" s="38"/>
      <c r="U20" s="38"/>
      <c r="V20" s="38"/>
      <c r="W20" s="38"/>
      <c r="X20" s="38"/>
      <c r="Y20" s="38"/>
      <c r="Z20" s="38"/>
      <c r="AA20" s="38"/>
      <c r="AB20" s="38"/>
      <c r="AC20" s="38"/>
      <c r="AD20" s="38"/>
      <c r="AE20" s="38"/>
      <c r="AF20" s="38"/>
      <c r="AG20" s="38"/>
      <c r="AH20" s="38"/>
    </row>
    <row r="21" spans="1:34" s="20" customFormat="1" ht="15" customHeight="1" x14ac:dyDescent="0.3">
      <c r="A21" s="25" t="s">
        <v>240</v>
      </c>
      <c r="B21" s="38"/>
      <c r="C21" s="1"/>
      <c r="D21" s="1"/>
      <c r="E21" s="1"/>
      <c r="F21" s="1"/>
      <c r="G21" s="1"/>
      <c r="H21" s="1"/>
      <c r="I21" s="38"/>
      <c r="J21" s="48"/>
      <c r="K21" s="6"/>
      <c r="L21" s="38"/>
      <c r="M21" s="5"/>
      <c r="N21" s="38"/>
      <c r="O21" s="38"/>
      <c r="P21" s="38"/>
      <c r="Q21" s="38"/>
      <c r="R21" s="38"/>
      <c r="S21" s="38"/>
      <c r="T21" s="38"/>
      <c r="U21" s="38"/>
      <c r="V21" s="38"/>
      <c r="W21" s="38"/>
      <c r="X21" s="38"/>
      <c r="Y21" s="38"/>
      <c r="Z21" s="38"/>
      <c r="AA21" s="38"/>
      <c r="AB21" s="38"/>
      <c r="AC21" s="38"/>
      <c r="AD21" s="38"/>
      <c r="AE21" s="38"/>
      <c r="AF21" s="38"/>
      <c r="AG21" s="38"/>
      <c r="AH21" s="38"/>
    </row>
    <row r="22" spans="1:34" s="20" customFormat="1" ht="15" customHeight="1" x14ac:dyDescent="0.3">
      <c r="A22" s="25" t="s">
        <v>226</v>
      </c>
      <c r="B22" s="38"/>
      <c r="C22" s="1"/>
      <c r="D22" s="1"/>
      <c r="E22" s="1"/>
      <c r="F22" s="1"/>
      <c r="G22" s="1"/>
      <c r="H22" s="1"/>
      <c r="I22" s="38"/>
      <c r="J22" s="37"/>
      <c r="K22" s="6"/>
      <c r="L22" s="49"/>
      <c r="M22" s="5"/>
      <c r="N22" s="38"/>
      <c r="O22" s="38"/>
      <c r="P22" s="38"/>
      <c r="Q22" s="38"/>
      <c r="R22" s="38"/>
      <c r="S22" s="38"/>
      <c r="T22" s="38"/>
      <c r="U22" s="38"/>
      <c r="V22" s="38"/>
      <c r="W22" s="38"/>
      <c r="X22" s="38"/>
      <c r="Y22" s="38"/>
      <c r="Z22" s="38"/>
      <c r="AA22" s="38"/>
      <c r="AB22" s="38"/>
      <c r="AC22" s="38"/>
      <c r="AD22" s="38"/>
      <c r="AE22" s="38"/>
      <c r="AF22" s="38"/>
      <c r="AG22" s="38"/>
      <c r="AH22" s="38"/>
    </row>
    <row r="23" spans="1:34" s="20" customFormat="1" ht="15" customHeight="1" x14ac:dyDescent="0.3">
      <c r="A23" s="25" t="s">
        <v>227</v>
      </c>
      <c r="B23" s="38"/>
      <c r="C23" s="1"/>
      <c r="D23" s="1"/>
      <c r="E23" s="1"/>
      <c r="F23" s="1"/>
      <c r="G23" s="1"/>
      <c r="H23" s="1"/>
      <c r="I23" s="38"/>
      <c r="J23" s="37"/>
      <c r="K23" s="50"/>
      <c r="L23" s="49"/>
      <c r="M23" s="5"/>
      <c r="N23" s="38"/>
      <c r="O23" s="38"/>
      <c r="P23" s="38"/>
      <c r="Q23" s="38"/>
      <c r="R23" s="38"/>
      <c r="S23" s="38"/>
      <c r="T23" s="38"/>
      <c r="U23" s="38"/>
      <c r="V23" s="38"/>
      <c r="W23" s="38"/>
      <c r="X23" s="38"/>
      <c r="Y23" s="38"/>
      <c r="Z23" s="38"/>
      <c r="AA23" s="38"/>
      <c r="AB23" s="38"/>
      <c r="AC23" s="38"/>
      <c r="AD23" s="38"/>
      <c r="AE23" s="38"/>
      <c r="AF23" s="38"/>
      <c r="AG23" s="38"/>
      <c r="AH23" s="38"/>
    </row>
    <row r="24" spans="1:34" s="20" customFormat="1" ht="15" customHeight="1" x14ac:dyDescent="0.3">
      <c r="A24" s="27" t="s">
        <v>241</v>
      </c>
      <c r="B24" s="38"/>
      <c r="C24" s="1"/>
      <c r="D24" s="1"/>
      <c r="E24" s="1"/>
      <c r="F24" s="1"/>
      <c r="G24" s="1"/>
      <c r="H24" s="1"/>
      <c r="I24" s="38"/>
      <c r="J24" s="37"/>
      <c r="K24" s="38"/>
      <c r="L24" s="49"/>
      <c r="M24" s="5"/>
      <c r="N24" s="38"/>
      <c r="O24" s="38"/>
      <c r="P24" s="38"/>
      <c r="Q24" s="38"/>
      <c r="R24" s="38"/>
      <c r="S24" s="38"/>
      <c r="T24" s="38"/>
      <c r="U24" s="38"/>
      <c r="V24" s="38"/>
      <c r="W24" s="38"/>
      <c r="X24" s="38"/>
      <c r="Y24" s="38"/>
      <c r="Z24" s="38"/>
      <c r="AA24" s="38"/>
      <c r="AB24" s="38"/>
      <c r="AC24" s="38"/>
      <c r="AD24" s="38"/>
      <c r="AE24" s="38"/>
      <c r="AF24" s="38"/>
      <c r="AG24" s="38"/>
      <c r="AH24" s="37"/>
    </row>
    <row r="25" spans="1:34" s="20" customFormat="1" ht="15" customHeight="1" x14ac:dyDescent="0.3">
      <c r="A25" s="25" t="s">
        <v>242</v>
      </c>
      <c r="B25" s="38"/>
      <c r="C25" s="1"/>
      <c r="D25" s="1"/>
      <c r="E25" s="1"/>
      <c r="F25" s="1"/>
      <c r="G25" s="1"/>
      <c r="H25" s="1"/>
      <c r="I25" s="38"/>
      <c r="J25" s="37"/>
      <c r="K25" s="38"/>
      <c r="L25" s="49"/>
      <c r="M25" s="5"/>
      <c r="N25" s="38"/>
      <c r="O25" s="38"/>
      <c r="P25" s="38"/>
      <c r="Q25" s="38"/>
      <c r="R25" s="38"/>
      <c r="S25" s="38"/>
      <c r="T25" s="38"/>
      <c r="U25" s="38"/>
      <c r="V25" s="38"/>
      <c r="W25" s="38"/>
      <c r="X25" s="38"/>
      <c r="Y25" s="38"/>
      <c r="Z25" s="38"/>
      <c r="AA25" s="38"/>
      <c r="AB25" s="38"/>
      <c r="AC25" s="38"/>
      <c r="AD25" s="38"/>
      <c r="AE25" s="38"/>
      <c r="AF25" s="38"/>
      <c r="AG25" s="38"/>
      <c r="AH25" s="37"/>
    </row>
    <row r="26" spans="1:34" s="20" customFormat="1" ht="15" customHeight="1" x14ac:dyDescent="0.3">
      <c r="A26" s="25" t="s">
        <v>243</v>
      </c>
      <c r="B26" s="38"/>
      <c r="C26" s="1"/>
      <c r="D26" s="1"/>
      <c r="E26" s="1"/>
      <c r="F26" s="1"/>
      <c r="G26" s="1"/>
      <c r="H26" s="1"/>
      <c r="I26" s="38"/>
      <c r="J26" s="37"/>
      <c r="K26" s="38"/>
      <c r="L26" s="49"/>
      <c r="M26" s="5"/>
      <c r="N26" s="38"/>
      <c r="O26" s="38"/>
      <c r="P26" s="38"/>
      <c r="Q26" s="38"/>
      <c r="R26" s="38"/>
      <c r="S26" s="38"/>
      <c r="T26" s="38"/>
      <c r="U26" s="38"/>
      <c r="V26" s="38"/>
      <c r="W26" s="38"/>
      <c r="X26" s="38"/>
      <c r="Y26" s="38"/>
      <c r="Z26" s="38"/>
      <c r="AA26" s="38"/>
      <c r="AB26" s="38"/>
      <c r="AC26" s="38"/>
      <c r="AD26" s="38"/>
      <c r="AE26" s="38"/>
      <c r="AF26" s="38"/>
      <c r="AG26" s="38"/>
      <c r="AH26" s="37"/>
    </row>
    <row r="27" spans="1:34" s="20" customFormat="1" ht="15" customHeight="1" x14ac:dyDescent="0.3">
      <c r="A27" s="25" t="s">
        <v>233</v>
      </c>
      <c r="B27" s="38"/>
      <c r="C27" s="1"/>
      <c r="D27" s="1"/>
      <c r="E27" s="1"/>
      <c r="F27" s="1"/>
      <c r="G27" s="1"/>
      <c r="H27" s="1"/>
      <c r="I27" s="38"/>
      <c r="J27" s="37"/>
      <c r="K27" s="38"/>
      <c r="L27" s="49"/>
      <c r="M27" s="5"/>
      <c r="N27" s="38"/>
      <c r="O27" s="38"/>
      <c r="P27" s="38"/>
      <c r="Q27" s="38"/>
      <c r="R27" s="38"/>
      <c r="S27" s="38"/>
      <c r="T27" s="38"/>
      <c r="U27" s="38"/>
      <c r="V27" s="38"/>
      <c r="W27" s="38"/>
      <c r="X27" s="38"/>
      <c r="Y27" s="38"/>
      <c r="Z27" s="38"/>
      <c r="AA27" s="38"/>
      <c r="AB27" s="38"/>
      <c r="AC27" s="38"/>
      <c r="AD27" s="38"/>
      <c r="AE27" s="38"/>
      <c r="AF27" s="38"/>
      <c r="AG27" s="38"/>
      <c r="AH27" s="37"/>
    </row>
    <row r="28" spans="1:34" s="20" customFormat="1" ht="15" customHeight="1" x14ac:dyDescent="0.3">
      <c r="A28" s="25" t="s">
        <v>244</v>
      </c>
      <c r="B28" s="38"/>
      <c r="C28" s="1"/>
      <c r="D28" s="1"/>
      <c r="E28" s="1"/>
      <c r="F28" s="1"/>
      <c r="G28" s="1"/>
      <c r="H28" s="1"/>
      <c r="I28" s="38"/>
      <c r="J28" s="37"/>
      <c r="K28" s="38"/>
      <c r="L28" s="49"/>
      <c r="M28" s="38"/>
      <c r="N28" s="38"/>
      <c r="O28" s="38"/>
      <c r="P28" s="38"/>
      <c r="Q28" s="38"/>
      <c r="R28" s="38"/>
      <c r="S28" s="38"/>
      <c r="T28" s="38"/>
      <c r="U28" s="38"/>
      <c r="V28" s="38"/>
      <c r="W28" s="38"/>
      <c r="X28" s="38"/>
      <c r="Y28" s="38"/>
      <c r="Z28" s="38"/>
      <c r="AA28" s="38"/>
      <c r="AB28" s="38"/>
      <c r="AC28" s="38"/>
      <c r="AD28" s="38"/>
      <c r="AE28" s="38"/>
      <c r="AF28" s="38"/>
      <c r="AG28" s="38"/>
      <c r="AH28" s="37"/>
    </row>
    <row r="29" spans="1:34" s="20" customFormat="1" ht="15" customHeight="1" x14ac:dyDescent="0.3">
      <c r="A29" s="25" t="s">
        <v>245</v>
      </c>
      <c r="B29" s="38"/>
      <c r="C29" s="1"/>
      <c r="D29" s="1"/>
      <c r="E29" s="1"/>
      <c r="F29" s="1"/>
      <c r="G29" s="1"/>
      <c r="H29" s="1"/>
      <c r="I29" s="38"/>
      <c r="J29" s="37"/>
      <c r="K29" s="38"/>
      <c r="L29" s="49"/>
      <c r="M29" s="38"/>
      <c r="N29" s="38"/>
      <c r="O29" s="38"/>
      <c r="P29" s="38"/>
      <c r="Q29" s="38"/>
      <c r="R29" s="38"/>
      <c r="S29" s="38"/>
      <c r="T29" s="38"/>
      <c r="U29" s="38"/>
      <c r="V29" s="38"/>
      <c r="W29" s="38"/>
      <c r="X29" s="38"/>
      <c r="Y29" s="38"/>
      <c r="Z29" s="38"/>
      <c r="AA29" s="38"/>
      <c r="AB29" s="38"/>
      <c r="AC29" s="38"/>
      <c r="AD29" s="38"/>
      <c r="AE29" s="38"/>
      <c r="AF29" s="38"/>
      <c r="AG29" s="38"/>
      <c r="AH29" s="37"/>
    </row>
    <row r="30" spans="1:34" s="20" customFormat="1" ht="15" customHeight="1" x14ac:dyDescent="0.3">
      <c r="A30" s="25" t="s">
        <v>11</v>
      </c>
      <c r="B30" s="38"/>
      <c r="C30" s="1"/>
      <c r="D30" s="1"/>
      <c r="E30" s="1"/>
      <c r="F30" s="1"/>
      <c r="G30" s="1"/>
      <c r="H30" s="1"/>
      <c r="I30" s="38"/>
      <c r="J30" s="38"/>
      <c r="K30" s="38"/>
      <c r="L30" s="38"/>
      <c r="M30" s="38"/>
      <c r="N30" s="38"/>
      <c r="O30" s="38"/>
      <c r="P30" s="38"/>
      <c r="Q30" s="38"/>
      <c r="R30" s="38"/>
      <c r="S30" s="38"/>
      <c r="T30" s="38"/>
      <c r="U30" s="38"/>
      <c r="V30" s="38"/>
      <c r="W30" s="38"/>
      <c r="X30" s="38"/>
      <c r="Y30" s="38"/>
      <c r="Z30" s="38"/>
      <c r="AA30" s="38"/>
      <c r="AB30" s="37"/>
      <c r="AC30" s="38"/>
      <c r="AD30" s="37"/>
      <c r="AE30" s="38"/>
      <c r="AF30" s="38"/>
      <c r="AG30" s="38"/>
      <c r="AH30" s="37"/>
    </row>
    <row r="31" spans="1:34" s="20" customFormat="1" ht="15" customHeight="1" x14ac:dyDescent="0.3">
      <c r="A31" s="25" t="s">
        <v>24</v>
      </c>
      <c r="B31" s="38"/>
      <c r="C31" s="1"/>
      <c r="D31" s="1"/>
      <c r="E31" s="1"/>
      <c r="F31" s="1"/>
      <c r="G31" s="1"/>
      <c r="H31" s="1"/>
      <c r="I31" s="38"/>
      <c r="J31" s="38"/>
      <c r="K31" s="38"/>
      <c r="L31" s="38"/>
      <c r="M31" s="38"/>
      <c r="N31" s="5"/>
      <c r="O31" s="38"/>
      <c r="P31" s="38"/>
      <c r="Q31" s="38"/>
      <c r="R31" s="38"/>
      <c r="S31" s="38"/>
      <c r="T31" s="38"/>
      <c r="U31" s="38"/>
      <c r="V31" s="38"/>
      <c r="W31" s="38"/>
      <c r="X31" s="38"/>
      <c r="Y31" s="38"/>
      <c r="Z31" s="38"/>
      <c r="AA31" s="38"/>
      <c r="AB31" s="37"/>
      <c r="AC31" s="38"/>
      <c r="AD31" s="37"/>
      <c r="AE31" s="38"/>
      <c r="AF31" s="38"/>
      <c r="AG31" s="38"/>
      <c r="AH31" s="37"/>
    </row>
    <row r="32" spans="1:34" s="20" customFormat="1" ht="15" customHeight="1" x14ac:dyDescent="0.3">
      <c r="A32" s="24" t="s">
        <v>246</v>
      </c>
      <c r="B32" s="38"/>
      <c r="C32" s="1"/>
      <c r="D32" s="1"/>
      <c r="E32" s="1"/>
      <c r="F32" s="1"/>
      <c r="G32" s="1"/>
      <c r="H32" s="1"/>
      <c r="I32" s="38"/>
      <c r="J32" s="38"/>
      <c r="K32" s="38"/>
      <c r="L32" s="38"/>
      <c r="M32" s="38"/>
      <c r="N32" s="5"/>
      <c r="O32" s="38"/>
      <c r="P32" s="38"/>
      <c r="Q32" s="38"/>
      <c r="R32" s="38"/>
      <c r="S32" s="38"/>
      <c r="T32" s="38"/>
      <c r="U32" s="38"/>
      <c r="V32" s="38"/>
      <c r="W32" s="38"/>
      <c r="X32" s="38"/>
      <c r="Y32" s="38"/>
      <c r="Z32" s="38"/>
      <c r="AA32" s="38"/>
      <c r="AB32" s="37"/>
      <c r="AC32" s="38"/>
      <c r="AD32" s="37"/>
      <c r="AE32" s="38"/>
      <c r="AF32" s="38"/>
      <c r="AG32" s="38"/>
      <c r="AH32" s="37"/>
    </row>
    <row r="33" spans="1:34" s="20" customFormat="1" ht="15" customHeight="1" x14ac:dyDescent="0.3">
      <c r="A33" s="87" t="s">
        <v>247</v>
      </c>
      <c r="B33" s="38"/>
      <c r="C33" s="1"/>
      <c r="D33" s="1"/>
      <c r="E33" s="1"/>
      <c r="F33" s="1"/>
      <c r="G33" s="1"/>
      <c r="H33" s="1"/>
      <c r="I33" s="38"/>
      <c r="J33" s="38"/>
      <c r="K33" s="38"/>
      <c r="L33" s="38"/>
      <c r="M33" s="38"/>
      <c r="N33" s="38"/>
      <c r="O33" s="38"/>
      <c r="P33" s="38"/>
      <c r="Q33" s="38"/>
      <c r="R33" s="38"/>
      <c r="S33" s="38"/>
      <c r="T33" s="38"/>
      <c r="U33" s="38"/>
      <c r="V33" s="38"/>
      <c r="W33" s="38"/>
      <c r="X33" s="38"/>
      <c r="Y33" s="38"/>
      <c r="Z33" s="38"/>
      <c r="AA33" s="38"/>
      <c r="AB33" s="37"/>
      <c r="AC33" s="38"/>
      <c r="AD33" s="37"/>
      <c r="AE33" s="38"/>
      <c r="AF33" s="38"/>
      <c r="AG33" s="38"/>
      <c r="AH33" s="37"/>
    </row>
    <row r="34" spans="1:34" s="20" customFormat="1" ht="15" customHeight="1" x14ac:dyDescent="0.3">
      <c r="A34" s="24" t="s">
        <v>11</v>
      </c>
      <c r="B34" s="38"/>
      <c r="C34" s="1"/>
      <c r="D34" s="1"/>
      <c r="E34" s="1"/>
      <c r="F34" s="1"/>
      <c r="G34" s="1"/>
      <c r="H34" s="1"/>
      <c r="I34" s="38"/>
      <c r="J34" s="38"/>
      <c r="K34" s="38"/>
      <c r="L34" s="38"/>
      <c r="M34" s="38"/>
      <c r="N34" s="38"/>
      <c r="O34" s="38"/>
      <c r="P34" s="38"/>
      <c r="Q34" s="38"/>
      <c r="R34" s="38"/>
      <c r="S34" s="38"/>
      <c r="T34" s="38"/>
      <c r="U34" s="38"/>
      <c r="V34" s="38"/>
      <c r="W34" s="38"/>
      <c r="X34" s="38"/>
      <c r="Y34" s="38"/>
      <c r="Z34" s="38"/>
      <c r="AA34" s="38"/>
      <c r="AB34" s="37"/>
      <c r="AC34" s="38"/>
      <c r="AD34" s="37"/>
      <c r="AE34" s="38"/>
      <c r="AF34" s="38"/>
      <c r="AG34" s="38"/>
      <c r="AH34" s="37"/>
    </row>
    <row r="35" spans="1:34" s="20" customFormat="1" ht="15" customHeight="1" x14ac:dyDescent="0.3">
      <c r="A35" s="24" t="s">
        <v>24</v>
      </c>
      <c r="B35" s="38"/>
      <c r="C35" s="1"/>
      <c r="D35" s="1"/>
      <c r="E35" s="1"/>
      <c r="F35" s="1"/>
      <c r="G35" s="1"/>
      <c r="H35" s="38"/>
      <c r="I35" s="38"/>
      <c r="J35" s="38"/>
      <c r="K35" s="38"/>
      <c r="L35" s="38"/>
      <c r="M35" s="38"/>
      <c r="N35" s="38"/>
      <c r="O35" s="38"/>
      <c r="P35" s="38"/>
      <c r="Q35" s="38"/>
      <c r="R35" s="38"/>
      <c r="S35" s="38"/>
      <c r="T35" s="38"/>
      <c r="U35" s="38"/>
      <c r="V35" s="38"/>
      <c r="W35" s="38"/>
      <c r="X35" s="38"/>
      <c r="Y35" s="38"/>
      <c r="Z35" s="38"/>
      <c r="AA35" s="38"/>
      <c r="AB35" s="37"/>
      <c r="AC35" s="38"/>
      <c r="AD35" s="37"/>
      <c r="AE35" s="38"/>
      <c r="AF35" s="38"/>
      <c r="AG35" s="38"/>
      <c r="AH35" s="37"/>
    </row>
    <row r="36" spans="1:34" x14ac:dyDescent="0.3">
      <c r="A36" s="9" t="s">
        <v>248</v>
      </c>
      <c r="B36" s="9"/>
      <c r="C36" s="1"/>
      <c r="D36" s="1"/>
      <c r="E36" s="1"/>
      <c r="F36" s="1"/>
      <c r="G36" s="1"/>
      <c r="H36" s="38"/>
      <c r="I36" s="38"/>
      <c r="J36" s="38"/>
      <c r="K36" s="38"/>
      <c r="L36" s="38"/>
      <c r="M36" s="38"/>
      <c r="N36" s="38"/>
      <c r="O36" s="38"/>
      <c r="P36" s="38"/>
      <c r="Q36" s="37"/>
      <c r="R36" s="37"/>
      <c r="S36" s="37"/>
      <c r="T36" s="37"/>
      <c r="U36" s="37"/>
      <c r="V36" s="37"/>
      <c r="W36" s="37"/>
      <c r="X36" s="37"/>
      <c r="Y36" s="37"/>
      <c r="Z36" s="37"/>
      <c r="AA36" s="37"/>
      <c r="AB36" s="37"/>
      <c r="AC36" s="37"/>
      <c r="AD36" s="37"/>
      <c r="AE36" s="37"/>
      <c r="AF36" s="37"/>
      <c r="AG36" s="37"/>
      <c r="AH36" s="37"/>
    </row>
    <row r="37" spans="1:34" x14ac:dyDescent="0.3">
      <c r="A37" s="9" t="s">
        <v>249</v>
      </c>
      <c r="B37" s="9"/>
      <c r="C37" s="1"/>
      <c r="D37" s="1"/>
      <c r="E37" s="1"/>
      <c r="F37" s="1"/>
      <c r="G37" s="1"/>
      <c r="H37" s="38"/>
      <c r="I37" s="38"/>
      <c r="J37" s="38"/>
      <c r="K37" s="38"/>
      <c r="L37" s="38"/>
      <c r="M37" s="38"/>
      <c r="N37" s="38"/>
      <c r="O37" s="38"/>
      <c r="P37" s="38"/>
      <c r="Q37" s="37"/>
      <c r="R37" s="37"/>
      <c r="S37" s="37"/>
      <c r="T37" s="37"/>
      <c r="U37" s="37"/>
      <c r="V37" s="37"/>
      <c r="W37" s="37"/>
      <c r="X37" s="37"/>
      <c r="Y37" s="37"/>
      <c r="Z37" s="37"/>
      <c r="AA37" s="37"/>
      <c r="AB37" s="37"/>
      <c r="AC37" s="37"/>
      <c r="AD37" s="37"/>
      <c r="AE37" s="37"/>
      <c r="AF37" s="37"/>
      <c r="AG37" s="37"/>
      <c r="AH37" s="37"/>
    </row>
    <row r="38" spans="1:34" x14ac:dyDescent="0.3">
      <c r="A38" s="9">
        <f>SUMIF(D118:D122,"&gt;=50")</f>
        <v>200</v>
      </c>
      <c r="B38" s="9"/>
      <c r="C38" s="1"/>
      <c r="D38" s="1"/>
      <c r="E38" s="1"/>
      <c r="F38" s="1"/>
      <c r="G38" s="1"/>
      <c r="H38" s="38"/>
      <c r="I38" s="38"/>
      <c r="J38" s="38"/>
      <c r="K38" s="38"/>
      <c r="L38" s="38"/>
      <c r="M38" s="38"/>
      <c r="N38" s="38"/>
      <c r="O38" s="38"/>
      <c r="P38" s="38"/>
      <c r="Q38" s="37"/>
      <c r="R38" s="37"/>
      <c r="S38" s="37"/>
      <c r="T38" s="37"/>
      <c r="U38" s="37"/>
      <c r="V38" s="37"/>
      <c r="W38" s="37"/>
      <c r="X38" s="37"/>
      <c r="Y38" s="37"/>
      <c r="Z38" s="37"/>
      <c r="AA38" s="37"/>
      <c r="AB38" s="37"/>
      <c r="AC38" s="37"/>
      <c r="AD38" s="37"/>
      <c r="AE38" s="37"/>
      <c r="AF38" s="37"/>
      <c r="AG38" s="37"/>
      <c r="AH38" s="37"/>
    </row>
    <row r="39" spans="1:34" x14ac:dyDescent="0.3">
      <c r="A39" s="9" t="s">
        <v>250</v>
      </c>
      <c r="B39" s="9"/>
      <c r="C39" s="1"/>
      <c r="D39" s="1"/>
      <c r="E39" s="1"/>
      <c r="F39" s="1"/>
      <c r="G39" s="1"/>
      <c r="H39" s="38"/>
      <c r="I39" s="38"/>
      <c r="J39" s="38"/>
      <c r="K39" s="38"/>
      <c r="L39" s="38"/>
      <c r="M39" s="38"/>
      <c r="N39" s="38"/>
      <c r="O39" s="38"/>
      <c r="P39" s="38"/>
      <c r="Q39" s="37"/>
      <c r="R39" s="37"/>
      <c r="S39" s="37"/>
      <c r="T39" s="37"/>
      <c r="U39" s="37"/>
      <c r="V39" s="37"/>
      <c r="W39" s="37"/>
      <c r="X39" s="37"/>
      <c r="Y39" s="37"/>
      <c r="Z39" s="37"/>
      <c r="AA39" s="37"/>
      <c r="AB39" s="37"/>
      <c r="AC39" s="37"/>
      <c r="AD39" s="37"/>
      <c r="AE39" s="37"/>
      <c r="AF39" s="37"/>
      <c r="AG39" s="37"/>
      <c r="AH39" s="37"/>
    </row>
    <row r="40" spans="1:34" ht="15" customHeight="1" x14ac:dyDescent="0.3">
      <c r="A40" s="36" t="s">
        <v>303</v>
      </c>
      <c r="B40" s="9"/>
      <c r="C40" s="1"/>
      <c r="D40" s="1"/>
      <c r="E40" s="1"/>
      <c r="F40" s="1"/>
      <c r="G40" s="1"/>
      <c r="H40" s="38"/>
      <c r="I40" s="38"/>
      <c r="J40" s="38"/>
      <c r="K40" s="38"/>
      <c r="L40" s="38"/>
      <c r="M40" s="38"/>
      <c r="N40" s="38"/>
      <c r="O40" s="38"/>
      <c r="P40" s="38"/>
      <c r="Q40" s="37"/>
      <c r="R40" s="37"/>
      <c r="S40" s="37"/>
      <c r="T40" s="37"/>
      <c r="U40" s="37"/>
      <c r="V40" s="37"/>
      <c r="W40" s="37"/>
      <c r="X40" s="37"/>
      <c r="Y40" s="37"/>
      <c r="Z40" s="37"/>
      <c r="AA40" s="37"/>
      <c r="AB40" s="37"/>
      <c r="AC40" s="37"/>
      <c r="AD40" s="37"/>
      <c r="AE40" s="37"/>
      <c r="AF40" s="37"/>
      <c r="AG40" s="37"/>
      <c r="AH40" s="37"/>
    </row>
    <row r="41" spans="1:34" x14ac:dyDescent="0.3">
      <c r="A41" s="9" t="s">
        <v>251</v>
      </c>
      <c r="B41" s="9"/>
      <c r="C41" s="38"/>
      <c r="D41" s="38"/>
      <c r="E41" s="38"/>
      <c r="F41" s="38"/>
      <c r="G41" s="38"/>
      <c r="H41" s="38"/>
      <c r="I41" s="38"/>
      <c r="J41" s="38"/>
      <c r="K41" s="38"/>
      <c r="L41" s="38"/>
      <c r="M41" s="38"/>
      <c r="N41" s="38"/>
      <c r="O41" s="38"/>
      <c r="P41" s="38"/>
      <c r="Q41" s="37"/>
      <c r="R41" s="37"/>
      <c r="S41" s="37"/>
      <c r="T41" s="37"/>
      <c r="U41" s="37"/>
      <c r="V41" s="37"/>
      <c r="W41" s="37"/>
      <c r="X41" s="37"/>
      <c r="Y41" s="37"/>
      <c r="Z41" s="37"/>
      <c r="AA41" s="37"/>
      <c r="AB41" s="37"/>
      <c r="AC41" s="37"/>
      <c r="AD41" s="37"/>
      <c r="AE41" s="37"/>
      <c r="AF41" s="37"/>
      <c r="AG41" s="37"/>
      <c r="AH41" s="37"/>
    </row>
    <row r="42" spans="1:34" x14ac:dyDescent="0.3">
      <c r="A42" s="9" t="s">
        <v>252</v>
      </c>
      <c r="B42" s="9"/>
      <c r="C42" s="38"/>
      <c r="D42" s="38"/>
      <c r="E42" s="38"/>
      <c r="F42" s="38"/>
      <c r="G42" s="38"/>
      <c r="H42" s="38"/>
      <c r="I42" s="38"/>
      <c r="J42" s="38"/>
      <c r="K42" s="38"/>
      <c r="L42" s="38"/>
      <c r="M42" s="38"/>
      <c r="N42" s="38"/>
      <c r="O42" s="38"/>
      <c r="P42" s="38"/>
      <c r="Q42" s="37"/>
      <c r="R42" s="37"/>
      <c r="S42" s="37"/>
      <c r="T42" s="37"/>
      <c r="U42" s="37"/>
      <c r="V42" s="37"/>
      <c r="W42" s="37"/>
      <c r="X42" s="37"/>
      <c r="Y42" s="37"/>
      <c r="Z42" s="37"/>
      <c r="AA42" s="37"/>
      <c r="AB42" s="37"/>
      <c r="AC42" s="37"/>
      <c r="AD42" s="37"/>
      <c r="AE42" s="37"/>
      <c r="AF42" s="37"/>
      <c r="AG42" s="37"/>
      <c r="AH42" s="37"/>
    </row>
    <row r="43" spans="1:34" x14ac:dyDescent="0.3">
      <c r="A43" s="9" t="s">
        <v>25</v>
      </c>
      <c r="B43" s="9"/>
      <c r="C43" s="38"/>
      <c r="D43" s="38"/>
      <c r="E43" s="38"/>
      <c r="F43" s="38"/>
      <c r="G43" s="38"/>
      <c r="H43" s="38"/>
      <c r="I43" s="38"/>
      <c r="J43" s="38"/>
      <c r="K43" s="38"/>
      <c r="L43" s="38"/>
      <c r="M43" s="38"/>
      <c r="N43" s="38"/>
      <c r="O43" s="38"/>
      <c r="P43" s="38"/>
      <c r="Q43" s="37"/>
      <c r="R43" s="37"/>
      <c r="S43" s="37"/>
      <c r="T43" s="37"/>
      <c r="U43" s="37"/>
      <c r="V43" s="37"/>
      <c r="W43" s="37"/>
      <c r="X43" s="37"/>
      <c r="Y43" s="37"/>
      <c r="Z43" s="37"/>
      <c r="AA43" s="37"/>
      <c r="AB43" s="37"/>
      <c r="AC43" s="37"/>
      <c r="AD43" s="37"/>
      <c r="AE43" s="37"/>
      <c r="AF43" s="37"/>
      <c r="AG43" s="37"/>
      <c r="AH43" s="37"/>
    </row>
    <row r="44" spans="1:34" x14ac:dyDescent="0.3">
      <c r="A44" s="9" t="s">
        <v>99</v>
      </c>
      <c r="B44" s="9"/>
      <c r="C44" s="38"/>
      <c r="D44" s="38"/>
      <c r="E44" s="38"/>
      <c r="F44" s="38"/>
      <c r="G44" s="38"/>
      <c r="H44" s="38"/>
      <c r="I44" s="38"/>
      <c r="J44" s="38"/>
      <c r="K44" s="38"/>
      <c r="L44" s="38"/>
      <c r="M44" s="38"/>
      <c r="N44" s="38"/>
      <c r="O44" s="38"/>
      <c r="P44" s="38"/>
      <c r="Q44" s="37"/>
      <c r="R44" s="37"/>
      <c r="S44" s="37"/>
      <c r="T44" s="37"/>
      <c r="U44" s="37"/>
      <c r="V44" s="37"/>
      <c r="W44" s="37"/>
      <c r="X44" s="37"/>
      <c r="Y44" s="37"/>
      <c r="Z44" s="37"/>
      <c r="AA44" s="37"/>
      <c r="AB44" s="37"/>
      <c r="AC44" s="37"/>
      <c r="AD44" s="37"/>
      <c r="AE44" s="37"/>
      <c r="AF44" s="37"/>
      <c r="AG44" s="37"/>
      <c r="AH44" s="37"/>
    </row>
    <row r="45" spans="1:34" x14ac:dyDescent="0.3">
      <c r="A45" s="9" t="s">
        <v>253</v>
      </c>
      <c r="B45" s="9"/>
      <c r="C45" s="38"/>
      <c r="D45" s="38"/>
      <c r="E45" s="38"/>
      <c r="F45" s="38"/>
      <c r="G45" s="38"/>
      <c r="H45" s="38"/>
      <c r="I45" s="38"/>
      <c r="J45" s="38"/>
      <c r="K45" s="38"/>
      <c r="L45" s="38"/>
      <c r="M45" s="38"/>
      <c r="N45" s="38"/>
      <c r="O45" s="38"/>
      <c r="P45" s="38"/>
      <c r="Q45" s="37"/>
      <c r="R45" s="37"/>
      <c r="S45" s="37"/>
      <c r="T45" s="37"/>
      <c r="U45" s="37"/>
      <c r="V45" s="37"/>
      <c r="W45" s="37"/>
      <c r="X45" s="37"/>
      <c r="Y45" s="37"/>
      <c r="Z45" s="37"/>
      <c r="AA45" s="37"/>
      <c r="AB45" s="37"/>
      <c r="AC45" s="37"/>
      <c r="AD45" s="37"/>
      <c r="AE45" s="37"/>
      <c r="AF45" s="37"/>
      <c r="AG45" s="37"/>
      <c r="AH45" s="37"/>
    </row>
    <row r="46" spans="1:34" x14ac:dyDescent="0.3">
      <c r="A46" s="9" t="s">
        <v>254</v>
      </c>
      <c r="B46" s="9"/>
      <c r="C46" s="38"/>
      <c r="D46" s="38"/>
      <c r="E46" s="38"/>
      <c r="F46" s="38"/>
      <c r="G46" s="38"/>
      <c r="H46" s="38"/>
      <c r="I46" s="38"/>
      <c r="J46" s="38"/>
      <c r="K46" s="38"/>
      <c r="L46" s="38"/>
      <c r="M46" s="38"/>
      <c r="N46" s="38"/>
      <c r="O46" s="38"/>
      <c r="P46" s="38"/>
      <c r="Q46" s="37"/>
      <c r="R46" s="37"/>
      <c r="S46" s="37"/>
      <c r="T46" s="37"/>
      <c r="U46" s="37"/>
      <c r="V46" s="37"/>
      <c r="W46" s="37"/>
      <c r="X46" s="37"/>
      <c r="Y46" s="37"/>
      <c r="Z46" s="37"/>
      <c r="AA46" s="37"/>
      <c r="AB46" s="37"/>
      <c r="AC46" s="37"/>
      <c r="AD46" s="37"/>
      <c r="AE46" s="37"/>
      <c r="AF46" s="37"/>
      <c r="AG46" s="37"/>
      <c r="AH46" s="37"/>
    </row>
    <row r="47" spans="1:34" x14ac:dyDescent="0.3">
      <c r="A47" s="9" t="s">
        <v>255</v>
      </c>
      <c r="B47" s="9"/>
      <c r="C47" s="38"/>
      <c r="D47" s="38"/>
      <c r="E47" s="38"/>
      <c r="F47" s="38"/>
      <c r="G47" s="38"/>
      <c r="H47" s="38"/>
      <c r="I47" s="38"/>
      <c r="J47" s="38"/>
      <c r="K47" s="38"/>
      <c r="L47" s="38"/>
      <c r="M47" s="38"/>
      <c r="N47" s="38"/>
      <c r="O47" s="38"/>
      <c r="P47" s="38"/>
      <c r="Q47" s="37"/>
      <c r="R47" s="37"/>
      <c r="S47" s="37"/>
      <c r="T47" s="37"/>
      <c r="U47" s="37"/>
      <c r="V47" s="37"/>
      <c r="W47" s="37"/>
      <c r="X47" s="37"/>
      <c r="Y47" s="37"/>
      <c r="Z47" s="37"/>
      <c r="AA47" s="37"/>
      <c r="AB47" s="37"/>
      <c r="AC47" s="37"/>
      <c r="AD47" s="37"/>
      <c r="AE47" s="37"/>
      <c r="AF47" s="37"/>
      <c r="AG47" s="37"/>
      <c r="AH47" s="37"/>
    </row>
    <row r="48" spans="1:34" x14ac:dyDescent="0.3">
      <c r="A48" s="9" t="s">
        <v>256</v>
      </c>
      <c r="B48" s="9"/>
      <c r="C48" s="38"/>
      <c r="D48" s="38"/>
      <c r="E48" s="38"/>
      <c r="F48" s="38"/>
      <c r="G48" s="38"/>
      <c r="H48" s="38"/>
      <c r="I48" s="38"/>
      <c r="J48" s="38"/>
      <c r="K48" s="38"/>
      <c r="L48" s="38"/>
      <c r="M48" s="38"/>
      <c r="N48" s="38"/>
      <c r="O48" s="38"/>
      <c r="P48" s="38"/>
      <c r="Q48" s="37"/>
      <c r="R48" s="37"/>
      <c r="S48" s="37"/>
      <c r="T48" s="37"/>
      <c r="U48" s="37"/>
      <c r="V48" s="37"/>
      <c r="W48" s="37"/>
      <c r="X48" s="37"/>
      <c r="Y48" s="37"/>
      <c r="Z48" s="37"/>
      <c r="AA48" s="37"/>
      <c r="AB48" s="37"/>
      <c r="AC48" s="37"/>
      <c r="AD48" s="37"/>
      <c r="AE48" s="37"/>
      <c r="AF48" s="37"/>
      <c r="AG48" s="37"/>
      <c r="AH48" s="37"/>
    </row>
    <row r="49" spans="1:34" x14ac:dyDescent="0.3">
      <c r="A49" s="9" t="s">
        <v>257</v>
      </c>
      <c r="B49" s="9"/>
      <c r="C49" s="7" t="s">
        <v>57</v>
      </c>
      <c r="D49" s="8" t="s">
        <v>73</v>
      </c>
      <c r="E49" s="39"/>
      <c r="F49" s="7" t="s">
        <v>57</v>
      </c>
      <c r="G49" s="7" t="s">
        <v>263</v>
      </c>
      <c r="H49" s="8" t="s">
        <v>73</v>
      </c>
      <c r="I49" s="38"/>
      <c r="J49" s="38"/>
      <c r="K49" s="38"/>
      <c r="L49" s="38"/>
      <c r="M49" s="38"/>
      <c r="N49" s="38"/>
      <c r="O49" s="38"/>
      <c r="P49" s="38"/>
      <c r="Q49" s="37"/>
      <c r="R49" s="37"/>
      <c r="S49" s="37"/>
      <c r="T49" s="37"/>
      <c r="U49" s="37"/>
      <c r="V49" s="37"/>
      <c r="W49" s="37"/>
      <c r="X49" s="37"/>
      <c r="Y49" s="37"/>
      <c r="Z49" s="37"/>
      <c r="AA49" s="37"/>
      <c r="AB49" s="37"/>
      <c r="AC49" s="37"/>
      <c r="AD49" s="37"/>
      <c r="AE49" s="37"/>
      <c r="AF49" s="37"/>
      <c r="AG49" s="37"/>
      <c r="AH49" s="37"/>
    </row>
    <row r="50" spans="1:34" x14ac:dyDescent="0.3">
      <c r="A50" s="9" t="s">
        <v>258</v>
      </c>
      <c r="B50" s="9"/>
      <c r="C50" s="40" t="s">
        <v>58</v>
      </c>
      <c r="D50" s="41">
        <v>50</v>
      </c>
      <c r="E50" s="39"/>
      <c r="F50" s="40" t="s">
        <v>58</v>
      </c>
      <c r="G50" s="40" t="s">
        <v>264</v>
      </c>
      <c r="H50" s="41">
        <v>50</v>
      </c>
      <c r="I50" s="38"/>
      <c r="J50" s="38"/>
      <c r="K50" s="38"/>
      <c r="L50" s="38"/>
      <c r="M50" s="38"/>
      <c r="N50" s="38"/>
      <c r="O50" s="38"/>
      <c r="P50" s="38"/>
      <c r="Q50" s="37"/>
      <c r="R50" s="37"/>
      <c r="S50" s="37"/>
      <c r="T50" s="37"/>
      <c r="U50" s="37"/>
      <c r="V50" s="37"/>
      <c r="W50" s="37"/>
      <c r="X50" s="37"/>
      <c r="Y50" s="37"/>
      <c r="Z50" s="37"/>
      <c r="AA50" s="37"/>
      <c r="AB50" s="37"/>
      <c r="AC50" s="37"/>
      <c r="AD50" s="37"/>
      <c r="AE50" s="37"/>
      <c r="AF50" s="37"/>
      <c r="AG50" s="37"/>
      <c r="AH50" s="37"/>
    </row>
    <row r="51" spans="1:34" x14ac:dyDescent="0.3">
      <c r="A51" s="9" t="s">
        <v>259</v>
      </c>
      <c r="B51" s="9"/>
      <c r="C51" s="40" t="s">
        <v>59</v>
      </c>
      <c r="D51" s="41">
        <v>20</v>
      </c>
      <c r="E51" s="39"/>
      <c r="F51" s="40" t="s">
        <v>59</v>
      </c>
      <c r="G51" s="40" t="s">
        <v>265</v>
      </c>
      <c r="H51" s="41">
        <v>20</v>
      </c>
      <c r="I51" s="38"/>
      <c r="J51" s="38"/>
      <c r="K51" s="38"/>
      <c r="L51" s="38"/>
      <c r="M51" s="38"/>
      <c r="N51" s="38"/>
      <c r="O51" s="38"/>
      <c r="P51" s="38"/>
      <c r="Q51" s="37"/>
      <c r="R51" s="37"/>
      <c r="S51" s="37"/>
      <c r="T51" s="37"/>
      <c r="U51" s="37"/>
      <c r="V51" s="37"/>
      <c r="W51" s="37"/>
      <c r="X51" s="37"/>
      <c r="Y51" s="37"/>
      <c r="Z51" s="37"/>
      <c r="AA51" s="37"/>
      <c r="AB51" s="37"/>
      <c r="AC51" s="37"/>
      <c r="AD51" s="37"/>
      <c r="AE51" s="37"/>
      <c r="AF51" s="37"/>
      <c r="AG51" s="37"/>
      <c r="AH51" s="37"/>
    </row>
    <row r="52" spans="1:34" x14ac:dyDescent="0.3">
      <c r="A52" s="9" t="s">
        <v>260</v>
      </c>
      <c r="B52" s="9"/>
      <c r="C52" s="40" t="s">
        <v>60</v>
      </c>
      <c r="D52" s="41">
        <v>60</v>
      </c>
      <c r="E52" s="39"/>
      <c r="F52" s="40" t="s">
        <v>60</v>
      </c>
      <c r="G52" s="40" t="s">
        <v>266</v>
      </c>
      <c r="H52" s="41">
        <v>60</v>
      </c>
      <c r="I52" s="38"/>
      <c r="J52" s="38"/>
      <c r="K52" s="38"/>
      <c r="L52" s="38"/>
      <c r="M52" s="38"/>
      <c r="N52" s="38"/>
      <c r="O52" s="38"/>
      <c r="P52" s="38"/>
      <c r="Q52" s="37"/>
      <c r="R52" s="37"/>
      <c r="S52" s="37"/>
      <c r="T52" s="37"/>
      <c r="U52" s="37"/>
      <c r="V52" s="37"/>
      <c r="W52" s="37"/>
      <c r="X52" s="37"/>
      <c r="Y52" s="37"/>
      <c r="Z52" s="37"/>
      <c r="AA52" s="37"/>
      <c r="AB52" s="37"/>
      <c r="AC52" s="37"/>
      <c r="AD52" s="37"/>
      <c r="AE52" s="37"/>
      <c r="AF52" s="37"/>
      <c r="AG52" s="37"/>
      <c r="AH52" s="37"/>
    </row>
    <row r="53" spans="1:34" x14ac:dyDescent="0.3">
      <c r="A53" s="9" t="s">
        <v>30</v>
      </c>
      <c r="B53" s="9"/>
      <c r="C53" s="40" t="s">
        <v>61</v>
      </c>
      <c r="D53" s="41">
        <v>40</v>
      </c>
      <c r="E53" s="39"/>
      <c r="F53" s="40" t="s">
        <v>61</v>
      </c>
      <c r="G53" s="40" t="s">
        <v>267</v>
      </c>
      <c r="H53" s="41">
        <v>40</v>
      </c>
      <c r="I53" s="38"/>
      <c r="J53" s="38"/>
      <c r="K53" s="38"/>
      <c r="L53" s="38"/>
      <c r="M53" s="38"/>
      <c r="N53" s="38"/>
      <c r="O53" s="38"/>
      <c r="P53" s="38"/>
      <c r="Q53" s="37"/>
      <c r="R53" s="37"/>
      <c r="S53" s="37"/>
      <c r="T53" s="37"/>
      <c r="U53" s="37"/>
      <c r="V53" s="37"/>
      <c r="W53" s="37"/>
      <c r="X53" s="37"/>
      <c r="Y53" s="37"/>
      <c r="Z53" s="37"/>
      <c r="AA53" s="37"/>
      <c r="AB53" s="37"/>
      <c r="AC53" s="37"/>
      <c r="AD53" s="37"/>
      <c r="AE53" s="37"/>
      <c r="AF53" s="37"/>
      <c r="AG53" s="37"/>
      <c r="AH53" s="37"/>
    </row>
    <row r="54" spans="1:34" x14ac:dyDescent="0.3">
      <c r="A54" s="9" t="s">
        <v>56</v>
      </c>
      <c r="B54" s="9"/>
      <c r="C54" s="40" t="s">
        <v>58</v>
      </c>
      <c r="D54" s="41">
        <v>50</v>
      </c>
      <c r="E54" s="39"/>
      <c r="F54" s="40" t="s">
        <v>58</v>
      </c>
      <c r="G54" s="40" t="s">
        <v>268</v>
      </c>
      <c r="H54" s="41">
        <v>50</v>
      </c>
      <c r="I54" s="38"/>
      <c r="J54" s="38"/>
      <c r="K54" s="38"/>
      <c r="L54" s="38"/>
      <c r="M54" s="38"/>
      <c r="N54" s="38"/>
      <c r="O54" s="38"/>
      <c r="P54" s="38"/>
      <c r="Q54" s="37"/>
      <c r="R54" s="37"/>
      <c r="S54" s="37"/>
      <c r="T54" s="37"/>
      <c r="U54" s="37"/>
      <c r="V54" s="37"/>
      <c r="W54" s="37"/>
      <c r="X54" s="37"/>
      <c r="Y54" s="37"/>
      <c r="Z54" s="37"/>
      <c r="AA54" s="37"/>
      <c r="AB54" s="37"/>
      <c r="AC54" s="37"/>
      <c r="AD54" s="37"/>
      <c r="AE54" s="37"/>
      <c r="AF54" s="37"/>
      <c r="AG54" s="37"/>
      <c r="AH54" s="37"/>
    </row>
    <row r="55" spans="1:34" x14ac:dyDescent="0.3">
      <c r="A55" s="9" t="s">
        <v>24</v>
      </c>
      <c r="B55" s="9"/>
      <c r="C55" s="40" t="s">
        <v>59</v>
      </c>
      <c r="D55" s="41">
        <v>20</v>
      </c>
      <c r="E55" s="39"/>
      <c r="F55" s="40" t="s">
        <v>59</v>
      </c>
      <c r="G55" s="40" t="s">
        <v>269</v>
      </c>
      <c r="H55" s="41">
        <v>20</v>
      </c>
      <c r="I55" s="38"/>
      <c r="J55" s="38"/>
      <c r="K55" s="38"/>
      <c r="L55" s="38"/>
      <c r="M55" s="38"/>
      <c r="N55" s="38"/>
      <c r="O55" s="38"/>
      <c r="P55" s="38"/>
      <c r="Q55" s="37"/>
      <c r="R55" s="37"/>
      <c r="S55" s="37"/>
      <c r="T55" s="37"/>
      <c r="U55" s="37"/>
      <c r="V55" s="37"/>
      <c r="W55" s="37"/>
      <c r="X55" s="37"/>
      <c r="Y55" s="37"/>
      <c r="Z55" s="37"/>
      <c r="AA55" s="37"/>
      <c r="AB55" s="37"/>
      <c r="AC55" s="37"/>
      <c r="AD55" s="37"/>
      <c r="AE55" s="37"/>
      <c r="AF55" s="37"/>
      <c r="AG55" s="37"/>
      <c r="AH55" s="37"/>
    </row>
    <row r="56" spans="1:34" x14ac:dyDescent="0.3">
      <c r="B56" s="9"/>
      <c r="C56" s="40" t="s">
        <v>60</v>
      </c>
      <c r="D56" s="41">
        <v>60</v>
      </c>
      <c r="E56" s="39"/>
      <c r="F56" s="40" t="s">
        <v>60</v>
      </c>
      <c r="G56" s="40" t="s">
        <v>270</v>
      </c>
      <c r="H56" s="41">
        <v>60</v>
      </c>
      <c r="I56" s="38"/>
      <c r="J56" s="38"/>
      <c r="K56" s="38"/>
      <c r="L56" s="38"/>
      <c r="M56" s="38"/>
      <c r="N56" s="38"/>
      <c r="O56" s="38"/>
      <c r="P56" s="38"/>
      <c r="Q56" s="37"/>
      <c r="R56" s="37"/>
      <c r="S56" s="37"/>
      <c r="T56" s="37"/>
      <c r="U56" s="37"/>
      <c r="V56" s="37"/>
      <c r="W56" s="37"/>
      <c r="X56" s="37"/>
      <c r="Y56" s="37"/>
      <c r="Z56" s="37"/>
      <c r="AA56" s="37"/>
      <c r="AB56" s="37"/>
      <c r="AC56" s="37"/>
      <c r="AD56" s="37"/>
      <c r="AE56" s="37"/>
      <c r="AF56" s="37"/>
      <c r="AG56" s="37"/>
      <c r="AH56" s="37"/>
    </row>
    <row r="57" spans="1:34" x14ac:dyDescent="0.3">
      <c r="B57" s="9"/>
      <c r="C57" s="40" t="s">
        <v>61</v>
      </c>
      <c r="D57" s="41">
        <v>40</v>
      </c>
      <c r="E57" s="39"/>
      <c r="F57" s="40" t="s">
        <v>61</v>
      </c>
      <c r="G57" s="40" t="s">
        <v>271</v>
      </c>
      <c r="H57" s="41">
        <v>40</v>
      </c>
      <c r="I57" s="38"/>
      <c r="J57" s="38"/>
      <c r="K57" s="38"/>
      <c r="L57" s="38"/>
      <c r="M57" s="38"/>
      <c r="N57" s="38"/>
      <c r="O57" s="38"/>
      <c r="P57" s="38"/>
      <c r="Q57" s="37"/>
      <c r="R57" s="37"/>
      <c r="S57" s="37"/>
      <c r="T57" s="37"/>
      <c r="U57" s="37"/>
      <c r="V57" s="37"/>
      <c r="W57" s="37"/>
      <c r="X57" s="37"/>
      <c r="Y57" s="37"/>
      <c r="Z57" s="37"/>
      <c r="AA57" s="37"/>
      <c r="AB57" s="37"/>
      <c r="AC57" s="37"/>
      <c r="AD57" s="37"/>
      <c r="AE57" s="37"/>
      <c r="AF57" s="37"/>
      <c r="AG57" s="37"/>
      <c r="AH57" s="37"/>
    </row>
    <row r="58" spans="1:34" x14ac:dyDescent="0.3">
      <c r="B58" s="9"/>
      <c r="C58" s="40" t="s">
        <v>58</v>
      </c>
      <c r="D58" s="41">
        <v>50</v>
      </c>
      <c r="E58" s="39"/>
      <c r="F58" s="40" t="s">
        <v>58</v>
      </c>
      <c r="G58" s="40" t="s">
        <v>268</v>
      </c>
      <c r="H58" s="41">
        <v>50</v>
      </c>
      <c r="I58" s="38"/>
      <c r="J58" s="38"/>
      <c r="K58" s="38"/>
      <c r="L58" s="38"/>
      <c r="M58" s="38"/>
      <c r="N58" s="38"/>
      <c r="O58" s="38"/>
      <c r="P58" s="38"/>
      <c r="Q58" s="37"/>
      <c r="R58" s="37"/>
      <c r="S58" s="37"/>
      <c r="T58" s="37"/>
      <c r="U58" s="37"/>
      <c r="V58" s="37"/>
      <c r="W58" s="37"/>
      <c r="X58" s="37"/>
      <c r="Y58" s="37"/>
      <c r="Z58" s="37"/>
      <c r="AA58" s="37"/>
      <c r="AB58" s="37"/>
      <c r="AC58" s="37"/>
      <c r="AD58" s="37"/>
      <c r="AE58" s="37"/>
      <c r="AF58" s="37"/>
      <c r="AG58" s="37"/>
      <c r="AH58" s="37"/>
    </row>
    <row r="59" spans="1:34" x14ac:dyDescent="0.3">
      <c r="B59" s="9"/>
      <c r="C59" s="40" t="s">
        <v>59</v>
      </c>
      <c r="D59" s="41">
        <v>20</v>
      </c>
      <c r="E59" s="39"/>
      <c r="F59" s="40" t="s">
        <v>59</v>
      </c>
      <c r="G59" s="40" t="s">
        <v>269</v>
      </c>
      <c r="H59" s="41">
        <v>20</v>
      </c>
      <c r="I59" s="38"/>
      <c r="J59" s="38"/>
      <c r="K59" s="38"/>
      <c r="L59" s="38"/>
      <c r="M59" s="38"/>
      <c r="N59" s="38"/>
      <c r="O59" s="38"/>
      <c r="P59" s="38"/>
      <c r="Q59" s="37"/>
      <c r="R59" s="37"/>
      <c r="S59" s="37"/>
      <c r="T59" s="37"/>
      <c r="U59" s="37"/>
      <c r="V59" s="37"/>
      <c r="W59" s="37"/>
      <c r="X59" s="37"/>
      <c r="Y59" s="37"/>
      <c r="Z59" s="37"/>
      <c r="AA59" s="37"/>
      <c r="AB59" s="37"/>
      <c r="AC59" s="37"/>
      <c r="AD59" s="37"/>
      <c r="AE59" s="37"/>
      <c r="AF59" s="37"/>
      <c r="AG59" s="37"/>
      <c r="AH59" s="37"/>
    </row>
    <row r="60" spans="1:34" x14ac:dyDescent="0.3">
      <c r="B60" s="9"/>
      <c r="C60" s="40" t="s">
        <v>60</v>
      </c>
      <c r="D60" s="41">
        <v>60</v>
      </c>
      <c r="E60" s="39"/>
      <c r="F60" s="40" t="s">
        <v>60</v>
      </c>
      <c r="G60" s="40" t="s">
        <v>266</v>
      </c>
      <c r="H60" s="41">
        <v>60</v>
      </c>
      <c r="I60" s="38"/>
      <c r="J60" s="38"/>
      <c r="K60" s="38"/>
      <c r="L60" s="38"/>
      <c r="M60" s="38"/>
      <c r="N60" s="38"/>
      <c r="O60" s="38"/>
      <c r="P60" s="38"/>
      <c r="Q60" s="37"/>
      <c r="R60" s="37"/>
      <c r="S60" s="37"/>
      <c r="T60" s="37"/>
      <c r="U60" s="37"/>
      <c r="V60" s="37"/>
      <c r="W60" s="37"/>
      <c r="X60" s="37"/>
      <c r="Y60" s="37"/>
      <c r="Z60" s="37"/>
      <c r="AA60" s="37"/>
      <c r="AB60" s="37"/>
      <c r="AC60" s="37"/>
      <c r="AD60" s="37"/>
      <c r="AE60" s="37"/>
      <c r="AF60" s="37"/>
      <c r="AG60" s="37"/>
      <c r="AH60" s="37"/>
    </row>
    <row r="61" spans="1:34" x14ac:dyDescent="0.3">
      <c r="B61" s="9"/>
      <c r="C61" s="40" t="s">
        <v>61</v>
      </c>
      <c r="D61" s="41">
        <v>40</v>
      </c>
      <c r="E61" s="39"/>
      <c r="F61" s="40" t="s">
        <v>61</v>
      </c>
      <c r="G61" s="40" t="s">
        <v>271</v>
      </c>
      <c r="H61" s="41">
        <v>40</v>
      </c>
      <c r="I61" s="38"/>
      <c r="J61" s="38"/>
      <c r="K61" s="38"/>
      <c r="L61" s="38"/>
      <c r="M61" s="38"/>
      <c r="N61" s="38"/>
      <c r="O61" s="38"/>
      <c r="P61" s="38"/>
      <c r="Q61" s="37"/>
      <c r="R61" s="37"/>
      <c r="S61" s="37"/>
      <c r="T61" s="37"/>
      <c r="U61" s="37"/>
      <c r="V61" s="37"/>
      <c r="W61" s="37"/>
      <c r="X61" s="37"/>
      <c r="Y61" s="37"/>
      <c r="Z61" s="37"/>
      <c r="AA61" s="37"/>
      <c r="AB61" s="37"/>
      <c r="AC61" s="37"/>
      <c r="AD61" s="37"/>
      <c r="AE61" s="37"/>
      <c r="AF61" s="37"/>
      <c r="AG61" s="37"/>
      <c r="AH61" s="37"/>
    </row>
    <row r="62" spans="1:34" x14ac:dyDescent="0.3">
      <c r="B62" s="9"/>
      <c r="C62" s="21"/>
      <c r="D62" s="21"/>
      <c r="E62" s="21"/>
      <c r="F62" s="21"/>
      <c r="G62" s="21"/>
      <c r="H62" s="21"/>
      <c r="I62" s="38"/>
      <c r="J62" s="38"/>
      <c r="K62" s="38"/>
      <c r="L62" s="38"/>
      <c r="M62" s="38"/>
      <c r="N62" s="38"/>
      <c r="O62" s="38"/>
      <c r="P62" s="38"/>
      <c r="Q62" s="37"/>
      <c r="R62" s="37"/>
      <c r="S62" s="37"/>
      <c r="T62" s="37"/>
      <c r="U62" s="37"/>
      <c r="V62" s="37"/>
      <c r="W62" s="37"/>
      <c r="X62" s="37"/>
      <c r="Y62" s="37"/>
      <c r="Z62" s="37"/>
      <c r="AA62" s="37"/>
      <c r="AB62" s="37"/>
      <c r="AC62" s="37"/>
      <c r="AD62" s="37"/>
      <c r="AE62" s="37"/>
      <c r="AF62" s="37"/>
      <c r="AG62" s="37"/>
      <c r="AH62" s="37"/>
    </row>
    <row r="63" spans="1:34" ht="15" thickBot="1" x14ac:dyDescent="0.35">
      <c r="B63" s="9"/>
      <c r="C63" s="38" t="s">
        <v>57</v>
      </c>
      <c r="D63" s="23" t="s">
        <v>262</v>
      </c>
      <c r="E63" s="39"/>
      <c r="F63" s="38" t="s">
        <v>57</v>
      </c>
      <c r="G63" s="38" t="s">
        <v>263</v>
      </c>
      <c r="H63" s="23" t="s">
        <v>274</v>
      </c>
      <c r="I63" s="38"/>
      <c r="J63" s="38"/>
      <c r="K63" s="38"/>
      <c r="L63" s="38"/>
      <c r="M63" s="38"/>
      <c r="N63" s="38"/>
      <c r="O63" s="38"/>
      <c r="P63" s="38"/>
      <c r="Q63" s="37"/>
      <c r="R63" s="37"/>
      <c r="S63" s="37"/>
      <c r="T63" s="37"/>
      <c r="U63" s="37"/>
      <c r="V63" s="37"/>
      <c r="W63" s="37"/>
      <c r="X63" s="37"/>
      <c r="Y63" s="37"/>
      <c r="Z63" s="37"/>
      <c r="AA63" s="37"/>
      <c r="AB63" s="37"/>
      <c r="AC63" s="37"/>
      <c r="AD63" s="37"/>
      <c r="AE63" s="37"/>
      <c r="AF63" s="37"/>
      <c r="AG63" s="37"/>
      <c r="AH63" s="37"/>
    </row>
    <row r="64" spans="1:34" ht="15.6" thickTop="1" thickBot="1" x14ac:dyDescent="0.35">
      <c r="B64" s="9"/>
      <c r="C64" s="46"/>
      <c r="D64" s="47"/>
      <c r="E64" s="39"/>
      <c r="F64" s="46" t="s">
        <v>59</v>
      </c>
      <c r="G64" s="46" t="s">
        <v>265</v>
      </c>
      <c r="H64" s="42">
        <f>COUNTIFS(F50:F61,F64,G50:G61,G64)</f>
        <v>1</v>
      </c>
      <c r="I64" s="38"/>
      <c r="J64" s="38"/>
      <c r="K64" s="38"/>
      <c r="L64" s="38"/>
      <c r="M64" s="38"/>
      <c r="N64" s="38"/>
      <c r="O64" s="38"/>
      <c r="P64" s="38"/>
      <c r="Q64" s="37"/>
      <c r="R64" s="37"/>
      <c r="S64" s="37"/>
      <c r="T64" s="37"/>
      <c r="U64" s="37"/>
      <c r="V64" s="37"/>
      <c r="W64" s="37"/>
      <c r="X64" s="37"/>
      <c r="Y64" s="37"/>
      <c r="Z64" s="37"/>
      <c r="AA64" s="37"/>
      <c r="AB64" s="37"/>
      <c r="AC64" s="37"/>
      <c r="AD64" s="37"/>
      <c r="AE64" s="37"/>
      <c r="AF64" s="37"/>
      <c r="AG64" s="37"/>
      <c r="AH64" s="37"/>
    </row>
    <row r="65" spans="2:34" ht="15" thickTop="1" x14ac:dyDescent="0.3">
      <c r="B65" s="9"/>
      <c r="C65" s="38"/>
      <c r="D65" s="38"/>
      <c r="E65" s="39"/>
      <c r="F65" s="38"/>
      <c r="G65" s="38"/>
      <c r="H65" s="38"/>
      <c r="I65" s="38"/>
      <c r="J65" s="38"/>
      <c r="K65" s="38"/>
      <c r="L65" s="38"/>
      <c r="M65" s="38"/>
      <c r="N65" s="38"/>
      <c r="O65" s="38"/>
      <c r="P65" s="38"/>
      <c r="Q65" s="37"/>
      <c r="R65" s="37"/>
      <c r="S65" s="37"/>
      <c r="T65" s="37"/>
      <c r="U65" s="37"/>
      <c r="V65" s="37"/>
      <c r="W65" s="37"/>
      <c r="X65" s="37"/>
      <c r="Y65" s="37"/>
      <c r="Z65" s="37"/>
      <c r="AA65" s="37"/>
      <c r="AB65" s="37"/>
      <c r="AC65" s="37"/>
      <c r="AD65" s="37"/>
      <c r="AE65" s="37"/>
      <c r="AF65" s="37"/>
      <c r="AG65" s="37"/>
      <c r="AH65" s="37"/>
    </row>
    <row r="66" spans="2:34" x14ac:dyDescent="0.3">
      <c r="B66" s="9"/>
      <c r="C66" s="1"/>
      <c r="D66" s="1"/>
      <c r="E66" s="1"/>
      <c r="F66" s="1"/>
      <c r="G66" s="1"/>
      <c r="H66" s="1"/>
      <c r="I66" s="38"/>
      <c r="J66" s="38"/>
      <c r="K66" s="38"/>
      <c r="L66" s="38"/>
      <c r="M66" s="38"/>
      <c r="N66" s="38"/>
      <c r="O66" s="38"/>
      <c r="P66" s="38"/>
      <c r="Q66" s="37"/>
      <c r="R66" s="37"/>
      <c r="S66" s="37"/>
      <c r="T66" s="37"/>
      <c r="U66" s="37"/>
      <c r="V66" s="37"/>
      <c r="W66" s="37"/>
      <c r="X66" s="37"/>
      <c r="Y66" s="37"/>
      <c r="Z66" s="37"/>
      <c r="AA66" s="37"/>
      <c r="AB66" s="37"/>
      <c r="AC66" s="37"/>
      <c r="AD66" s="37"/>
      <c r="AE66" s="37"/>
      <c r="AF66" s="37"/>
      <c r="AG66" s="37"/>
      <c r="AH66" s="37"/>
    </row>
    <row r="67" spans="2:34" x14ac:dyDescent="0.3">
      <c r="B67" s="9"/>
      <c r="C67" s="1"/>
      <c r="D67" s="1"/>
      <c r="E67" s="1"/>
      <c r="F67" s="1"/>
      <c r="G67" s="1"/>
      <c r="H67" s="1"/>
      <c r="I67" s="38"/>
      <c r="J67" s="38"/>
      <c r="K67" s="38"/>
      <c r="L67" s="38"/>
      <c r="M67" s="38"/>
      <c r="N67" s="38"/>
      <c r="O67" s="38"/>
      <c r="P67" s="38"/>
      <c r="Q67" s="37"/>
      <c r="R67" s="37"/>
      <c r="S67" s="37"/>
      <c r="T67" s="37"/>
      <c r="U67" s="37"/>
      <c r="V67" s="37"/>
      <c r="W67" s="37"/>
      <c r="X67" s="37"/>
      <c r="Y67" s="37"/>
      <c r="Z67" s="37"/>
      <c r="AA67" s="37"/>
      <c r="AB67" s="37"/>
      <c r="AC67" s="37"/>
      <c r="AD67" s="37"/>
      <c r="AE67" s="37"/>
      <c r="AF67" s="37"/>
      <c r="AG67" s="37"/>
      <c r="AH67" s="37"/>
    </row>
    <row r="68" spans="2:34" x14ac:dyDescent="0.3">
      <c r="B68" s="9"/>
      <c r="C68" s="1"/>
      <c r="D68" s="1"/>
      <c r="E68" s="1"/>
      <c r="F68" s="1"/>
      <c r="G68" s="1"/>
      <c r="H68" s="1"/>
      <c r="I68" s="38"/>
      <c r="J68" s="38"/>
      <c r="K68" s="38"/>
      <c r="L68" s="38"/>
      <c r="M68" s="38"/>
      <c r="N68" s="38"/>
      <c r="O68" s="38"/>
      <c r="P68" s="38"/>
      <c r="Q68" s="37"/>
      <c r="R68" s="37"/>
      <c r="S68" s="37"/>
      <c r="T68" s="37"/>
      <c r="U68" s="37"/>
      <c r="V68" s="37"/>
      <c r="W68" s="37"/>
      <c r="X68" s="37"/>
      <c r="Y68" s="37"/>
      <c r="Z68" s="37"/>
      <c r="AA68" s="37"/>
      <c r="AB68" s="37"/>
      <c r="AC68" s="37"/>
      <c r="AD68" s="37"/>
      <c r="AE68" s="37"/>
      <c r="AF68" s="37"/>
      <c r="AG68" s="37"/>
      <c r="AH68" s="37"/>
    </row>
    <row r="69" spans="2:34" x14ac:dyDescent="0.3">
      <c r="B69" s="9"/>
      <c r="C69" s="1"/>
      <c r="D69" s="1"/>
      <c r="E69" s="1"/>
      <c r="F69" s="1"/>
      <c r="G69" s="1"/>
      <c r="H69" s="1"/>
      <c r="I69" s="38"/>
      <c r="J69" s="38"/>
      <c r="K69" s="38"/>
      <c r="L69" s="38"/>
      <c r="M69" s="38"/>
      <c r="N69" s="38"/>
      <c r="O69" s="38"/>
      <c r="P69" s="38"/>
      <c r="Q69" s="37"/>
      <c r="R69" s="37"/>
      <c r="S69" s="37"/>
      <c r="T69" s="37"/>
      <c r="U69" s="37"/>
      <c r="V69" s="37"/>
      <c r="W69" s="37"/>
      <c r="X69" s="37"/>
      <c r="Y69" s="37"/>
      <c r="Z69" s="37"/>
      <c r="AA69" s="37"/>
      <c r="AB69" s="37"/>
      <c r="AC69" s="37"/>
      <c r="AD69" s="37"/>
      <c r="AE69" s="37"/>
      <c r="AF69" s="37"/>
      <c r="AG69" s="37"/>
      <c r="AH69" s="37"/>
    </row>
    <row r="70" spans="2:34" x14ac:dyDescent="0.3">
      <c r="B70" s="9"/>
      <c r="C70" s="1"/>
      <c r="D70" s="1"/>
      <c r="E70" s="1"/>
      <c r="F70" s="1"/>
      <c r="G70" s="1"/>
      <c r="H70" s="1"/>
      <c r="I70" s="38"/>
      <c r="J70" s="38"/>
      <c r="K70" s="38"/>
      <c r="L70" s="38"/>
      <c r="M70" s="38"/>
      <c r="N70" s="38"/>
      <c r="O70" s="38"/>
      <c r="P70" s="38"/>
      <c r="Q70" s="37"/>
      <c r="R70" s="37"/>
      <c r="S70" s="37"/>
      <c r="T70" s="37"/>
      <c r="U70" s="37"/>
      <c r="V70" s="37"/>
      <c r="W70" s="37"/>
      <c r="X70" s="37"/>
      <c r="Y70" s="37"/>
      <c r="Z70" s="37"/>
      <c r="AA70" s="37"/>
      <c r="AB70" s="37"/>
      <c r="AC70" s="37"/>
      <c r="AD70" s="37"/>
      <c r="AE70" s="37"/>
      <c r="AF70" s="37"/>
      <c r="AG70" s="37"/>
      <c r="AH70" s="37"/>
    </row>
    <row r="71" spans="2:34" x14ac:dyDescent="0.3">
      <c r="B71" s="9"/>
      <c r="C71" s="1"/>
      <c r="D71" s="1"/>
      <c r="E71" s="1"/>
      <c r="F71" s="1"/>
      <c r="G71" s="1"/>
      <c r="H71" s="1"/>
      <c r="I71" s="38"/>
      <c r="J71" s="38"/>
      <c r="K71" s="38"/>
      <c r="L71" s="38"/>
      <c r="M71" s="38"/>
      <c r="N71" s="38"/>
      <c r="O71" s="38"/>
      <c r="P71" s="38"/>
      <c r="Q71" s="37"/>
      <c r="R71" s="37"/>
      <c r="S71" s="37"/>
      <c r="T71" s="37"/>
      <c r="U71" s="37"/>
      <c r="V71" s="37"/>
      <c r="W71" s="37"/>
      <c r="X71" s="37"/>
      <c r="Y71" s="37"/>
      <c r="Z71" s="37"/>
      <c r="AA71" s="37"/>
      <c r="AB71" s="37"/>
      <c r="AC71" s="37"/>
      <c r="AD71" s="37"/>
      <c r="AE71" s="37"/>
      <c r="AF71" s="37"/>
      <c r="AG71" s="37"/>
      <c r="AH71" s="37"/>
    </row>
    <row r="72" spans="2:34" x14ac:dyDescent="0.3">
      <c r="B72" s="9"/>
      <c r="C72" s="1"/>
      <c r="D72" s="1"/>
      <c r="E72" s="1"/>
      <c r="F72" s="1"/>
      <c r="G72" s="1"/>
      <c r="H72" s="1"/>
      <c r="I72" s="38"/>
      <c r="J72" s="38"/>
      <c r="K72" s="38"/>
      <c r="L72" s="38"/>
      <c r="M72" s="38"/>
      <c r="N72" s="38"/>
      <c r="O72" s="38"/>
      <c r="P72" s="38"/>
      <c r="Q72" s="37"/>
      <c r="R72" s="37"/>
      <c r="S72" s="37"/>
      <c r="T72" s="37"/>
      <c r="U72" s="37"/>
      <c r="V72" s="37"/>
      <c r="W72" s="37"/>
      <c r="X72" s="37"/>
      <c r="Y72" s="37"/>
      <c r="Z72" s="37"/>
      <c r="AA72" s="37"/>
      <c r="AB72" s="37"/>
      <c r="AC72" s="37"/>
      <c r="AD72" s="37"/>
      <c r="AE72" s="37"/>
      <c r="AF72" s="37"/>
      <c r="AG72" s="37"/>
      <c r="AH72" s="37"/>
    </row>
    <row r="73" spans="2:34" x14ac:dyDescent="0.3">
      <c r="B73" s="9"/>
      <c r="C73" s="1"/>
      <c r="D73" s="1"/>
      <c r="E73" s="1"/>
      <c r="F73" s="1"/>
      <c r="G73" s="1"/>
      <c r="H73" s="1"/>
      <c r="I73" s="38"/>
      <c r="J73" s="38"/>
      <c r="K73" s="38"/>
      <c r="L73" s="38"/>
      <c r="M73" s="38"/>
      <c r="N73" s="38"/>
      <c r="O73" s="38"/>
      <c r="P73" s="38"/>
      <c r="Q73" s="37"/>
      <c r="R73" s="37"/>
      <c r="S73" s="37"/>
      <c r="T73" s="37"/>
      <c r="U73" s="37"/>
      <c r="V73" s="37"/>
      <c r="W73" s="37"/>
      <c r="X73" s="37"/>
      <c r="Y73" s="37"/>
      <c r="Z73" s="37"/>
      <c r="AA73" s="37"/>
      <c r="AB73" s="37"/>
      <c r="AC73" s="37"/>
      <c r="AD73" s="37"/>
      <c r="AE73" s="37"/>
      <c r="AF73" s="37"/>
      <c r="AG73" s="37"/>
      <c r="AH73" s="37"/>
    </row>
    <row r="74" spans="2:34" x14ac:dyDescent="0.3">
      <c r="B74" s="9"/>
      <c r="C74" s="1"/>
      <c r="D74" s="1"/>
      <c r="E74" s="1"/>
      <c r="F74" s="1"/>
      <c r="G74" s="1"/>
      <c r="H74" s="1"/>
      <c r="I74" s="38"/>
      <c r="J74" s="38"/>
      <c r="K74" s="38"/>
      <c r="L74" s="38"/>
      <c r="M74" s="38"/>
      <c r="N74" s="38"/>
      <c r="O74" s="38"/>
      <c r="P74" s="38"/>
      <c r="Q74" s="37"/>
      <c r="R74" s="37"/>
      <c r="S74" s="37"/>
      <c r="T74" s="37"/>
      <c r="U74" s="37"/>
      <c r="V74" s="37"/>
      <c r="W74" s="37"/>
      <c r="X74" s="37"/>
      <c r="Y74" s="37"/>
      <c r="Z74" s="37"/>
      <c r="AA74" s="37"/>
      <c r="AB74" s="37"/>
      <c r="AC74" s="37"/>
      <c r="AD74" s="37"/>
      <c r="AE74" s="37"/>
      <c r="AF74" s="37"/>
      <c r="AG74" s="37"/>
      <c r="AH74" s="37"/>
    </row>
    <row r="75" spans="2:34" x14ac:dyDescent="0.3">
      <c r="B75" s="9"/>
      <c r="C75" s="1"/>
      <c r="D75" s="1"/>
      <c r="E75" s="1"/>
      <c r="F75" s="1"/>
      <c r="G75" s="1"/>
      <c r="H75" s="1"/>
      <c r="I75" s="1"/>
      <c r="J75" s="38"/>
      <c r="K75" s="38"/>
      <c r="L75" s="38"/>
      <c r="M75" s="38"/>
      <c r="N75" s="38"/>
      <c r="O75" s="38"/>
      <c r="P75" s="38"/>
      <c r="Q75" s="37"/>
      <c r="R75" s="37"/>
      <c r="S75" s="37"/>
      <c r="T75" s="37"/>
      <c r="U75" s="37"/>
      <c r="V75" s="37"/>
      <c r="W75" s="37"/>
      <c r="X75" s="37"/>
      <c r="Y75" s="37"/>
      <c r="Z75" s="37"/>
      <c r="AA75" s="37"/>
      <c r="AB75" s="37"/>
      <c r="AC75" s="37"/>
      <c r="AD75" s="37"/>
      <c r="AE75" s="37"/>
      <c r="AF75" s="37"/>
      <c r="AG75" s="37"/>
      <c r="AH75" s="37"/>
    </row>
    <row r="76" spans="2:34" x14ac:dyDescent="0.3">
      <c r="B76" s="9"/>
      <c r="C76" s="1"/>
      <c r="D76" s="1"/>
      <c r="E76" s="1"/>
      <c r="F76" s="1"/>
      <c r="G76" s="1"/>
      <c r="H76" s="1"/>
      <c r="I76" s="1"/>
      <c r="J76" s="38"/>
      <c r="K76" s="38"/>
      <c r="L76" s="38"/>
      <c r="M76" s="38"/>
      <c r="N76" s="38"/>
      <c r="O76" s="38"/>
      <c r="P76" s="38"/>
      <c r="Q76" s="37"/>
      <c r="R76" s="37"/>
      <c r="S76" s="37"/>
      <c r="T76" s="37"/>
      <c r="U76" s="37"/>
      <c r="V76" s="37"/>
      <c r="W76" s="37"/>
      <c r="X76" s="37"/>
      <c r="Y76" s="37"/>
      <c r="Z76" s="37"/>
      <c r="AA76" s="37"/>
      <c r="AB76" s="37"/>
      <c r="AC76" s="37"/>
      <c r="AD76" s="37"/>
      <c r="AE76" s="37"/>
      <c r="AF76" s="37"/>
      <c r="AG76" s="37"/>
      <c r="AH76" s="37"/>
    </row>
    <row r="77" spans="2:34" x14ac:dyDescent="0.3">
      <c r="B77" s="9"/>
      <c r="C77" s="1"/>
      <c r="D77" s="1"/>
      <c r="E77" s="1"/>
      <c r="F77" s="1"/>
      <c r="G77" s="1"/>
      <c r="H77" s="1"/>
      <c r="I77" s="1"/>
      <c r="J77" s="38"/>
      <c r="K77" s="38"/>
      <c r="L77" s="38"/>
      <c r="M77" s="38"/>
      <c r="N77" s="38"/>
      <c r="O77" s="38"/>
      <c r="P77" s="38"/>
      <c r="Q77" s="37"/>
      <c r="R77" s="37"/>
      <c r="S77" s="37"/>
      <c r="T77" s="37"/>
      <c r="U77" s="37"/>
      <c r="V77" s="37"/>
      <c r="W77" s="37"/>
      <c r="X77" s="37"/>
      <c r="Y77" s="37"/>
      <c r="Z77" s="37"/>
      <c r="AA77" s="37"/>
      <c r="AB77" s="37"/>
      <c r="AC77" s="37"/>
      <c r="AD77" s="37"/>
      <c r="AE77" s="37"/>
      <c r="AF77" s="37"/>
      <c r="AG77" s="37"/>
      <c r="AH77" s="37"/>
    </row>
    <row r="78" spans="2:34" x14ac:dyDescent="0.3">
      <c r="B78" s="9"/>
      <c r="C78" s="1"/>
      <c r="D78" s="1"/>
      <c r="E78" s="1"/>
      <c r="F78" s="1"/>
      <c r="G78" s="1"/>
      <c r="H78" s="1"/>
      <c r="I78" s="1"/>
      <c r="J78" s="38"/>
      <c r="K78" s="38"/>
      <c r="L78" s="38"/>
      <c r="M78" s="38"/>
      <c r="N78" s="38"/>
      <c r="O78" s="38"/>
      <c r="P78" s="38"/>
      <c r="Q78" s="37"/>
      <c r="R78" s="37"/>
      <c r="S78" s="37"/>
      <c r="T78" s="37"/>
      <c r="U78" s="37"/>
      <c r="V78" s="37"/>
      <c r="W78" s="37"/>
      <c r="X78" s="37"/>
      <c r="Y78" s="37"/>
      <c r="Z78" s="37"/>
      <c r="AA78" s="37"/>
      <c r="AB78" s="37"/>
      <c r="AC78" s="37"/>
      <c r="AD78" s="37"/>
      <c r="AE78" s="37"/>
      <c r="AF78" s="37"/>
      <c r="AG78" s="37"/>
      <c r="AH78" s="37"/>
    </row>
    <row r="79" spans="2:34" x14ac:dyDescent="0.3">
      <c r="B79" s="9"/>
      <c r="C79" s="1"/>
      <c r="D79" s="1"/>
      <c r="E79" s="1"/>
      <c r="F79" s="1"/>
      <c r="G79" s="1"/>
      <c r="H79" s="1"/>
      <c r="I79" s="1"/>
      <c r="J79" s="38"/>
      <c r="K79" s="38"/>
      <c r="L79" s="38"/>
      <c r="M79" s="38"/>
      <c r="N79" s="38"/>
      <c r="O79" s="38"/>
      <c r="P79" s="38"/>
      <c r="Q79" s="37"/>
      <c r="R79" s="37"/>
      <c r="S79" s="37"/>
      <c r="T79" s="37"/>
      <c r="U79" s="37"/>
      <c r="V79" s="37"/>
      <c r="W79" s="37"/>
      <c r="X79" s="37"/>
      <c r="Y79" s="37"/>
      <c r="Z79" s="37"/>
      <c r="AA79" s="37"/>
      <c r="AB79" s="37"/>
      <c r="AC79" s="37"/>
      <c r="AD79" s="37"/>
      <c r="AE79" s="37"/>
      <c r="AF79" s="37"/>
      <c r="AG79" s="37"/>
      <c r="AH79" s="37"/>
    </row>
    <row r="80" spans="2:34" x14ac:dyDescent="0.3">
      <c r="B80" s="9"/>
      <c r="C80" s="1"/>
      <c r="D80" s="1"/>
      <c r="E80" s="1"/>
      <c r="F80" s="1"/>
      <c r="G80" s="1"/>
      <c r="H80" s="1"/>
      <c r="I80" s="1"/>
      <c r="J80" s="38"/>
      <c r="K80" s="38"/>
      <c r="L80" s="38"/>
      <c r="M80" s="38"/>
      <c r="N80" s="38"/>
      <c r="O80" s="38"/>
      <c r="P80" s="38"/>
      <c r="Q80" s="37"/>
      <c r="R80" s="37"/>
      <c r="S80" s="37"/>
      <c r="T80" s="37"/>
      <c r="U80" s="37"/>
      <c r="V80" s="37"/>
      <c r="W80" s="37"/>
      <c r="X80" s="37"/>
      <c r="Y80" s="37"/>
      <c r="Z80" s="37"/>
      <c r="AA80" s="37"/>
      <c r="AB80" s="37"/>
      <c r="AC80" s="37"/>
      <c r="AD80" s="37"/>
      <c r="AE80" s="37"/>
      <c r="AF80" s="37"/>
      <c r="AG80" s="37"/>
      <c r="AH80" s="37"/>
    </row>
    <row r="81" spans="2:34" x14ac:dyDescent="0.3">
      <c r="B81" s="9"/>
      <c r="C81" s="1"/>
      <c r="D81" s="1"/>
      <c r="E81" s="1"/>
      <c r="F81" s="1"/>
      <c r="G81" s="1"/>
      <c r="H81" s="1"/>
      <c r="I81" s="1"/>
      <c r="J81" s="38"/>
      <c r="K81" s="38"/>
      <c r="L81" s="38"/>
      <c r="M81" s="38"/>
      <c r="N81" s="38"/>
      <c r="O81" s="38"/>
      <c r="P81" s="38"/>
      <c r="Q81" s="37"/>
      <c r="R81" s="37"/>
      <c r="S81" s="37"/>
      <c r="T81" s="37"/>
      <c r="U81" s="37"/>
      <c r="V81" s="37"/>
      <c r="W81" s="37"/>
      <c r="X81" s="37"/>
      <c r="Y81" s="37"/>
      <c r="Z81" s="37"/>
      <c r="AA81" s="37"/>
      <c r="AB81" s="37"/>
      <c r="AC81" s="37"/>
      <c r="AD81" s="37"/>
      <c r="AE81" s="37"/>
      <c r="AF81" s="37"/>
      <c r="AG81" s="37"/>
      <c r="AH81" s="37"/>
    </row>
    <row r="82" spans="2:34" x14ac:dyDescent="0.3">
      <c r="B82" s="9"/>
      <c r="C82" s="1"/>
      <c r="D82" s="1"/>
      <c r="E82" s="1"/>
      <c r="F82" s="1"/>
      <c r="G82" s="1"/>
      <c r="H82" s="1"/>
      <c r="I82" s="1"/>
      <c r="J82" s="38"/>
      <c r="K82" s="38"/>
      <c r="L82" s="38"/>
      <c r="M82" s="38"/>
      <c r="N82" s="38"/>
      <c r="O82" s="38"/>
      <c r="P82" s="38"/>
      <c r="Q82" s="37"/>
      <c r="R82" s="37"/>
      <c r="S82" s="37"/>
      <c r="T82" s="37"/>
      <c r="U82" s="37"/>
      <c r="V82" s="37"/>
      <c r="W82" s="37"/>
      <c r="X82" s="37"/>
      <c r="Y82" s="37"/>
      <c r="Z82" s="37"/>
      <c r="AA82" s="37"/>
      <c r="AB82" s="37"/>
      <c r="AC82" s="37"/>
      <c r="AD82" s="37"/>
      <c r="AE82" s="37"/>
      <c r="AF82" s="37"/>
      <c r="AG82" s="37"/>
      <c r="AH82" s="37"/>
    </row>
    <row r="83" spans="2:34" x14ac:dyDescent="0.3">
      <c r="B83" s="9"/>
      <c r="C83" s="1"/>
      <c r="D83" s="1"/>
      <c r="E83" s="1"/>
      <c r="F83" s="1"/>
      <c r="G83" s="1"/>
      <c r="H83" s="1"/>
      <c r="I83" s="1"/>
      <c r="J83" s="38"/>
      <c r="K83" s="38"/>
      <c r="L83" s="38"/>
      <c r="M83" s="38"/>
      <c r="N83" s="38"/>
      <c r="O83" s="38"/>
      <c r="P83" s="38"/>
      <c r="Q83" s="37"/>
      <c r="R83" s="37"/>
      <c r="S83" s="37"/>
      <c r="T83" s="37"/>
      <c r="U83" s="37"/>
      <c r="V83" s="37"/>
      <c r="W83" s="37"/>
      <c r="X83" s="37"/>
      <c r="Y83" s="37"/>
      <c r="Z83" s="37"/>
      <c r="AA83" s="37"/>
      <c r="AB83" s="37"/>
      <c r="AC83" s="37"/>
      <c r="AD83" s="37"/>
      <c r="AE83" s="37"/>
      <c r="AF83" s="37"/>
      <c r="AG83" s="37"/>
      <c r="AH83" s="37"/>
    </row>
    <row r="84" spans="2:34" x14ac:dyDescent="0.3">
      <c r="B84" s="9"/>
      <c r="C84" s="1"/>
      <c r="D84" s="1"/>
      <c r="E84" s="1"/>
      <c r="F84" s="1"/>
      <c r="G84" s="1"/>
      <c r="H84" s="1"/>
      <c r="I84" s="1"/>
      <c r="J84" s="38"/>
      <c r="K84" s="38"/>
      <c r="L84" s="38"/>
      <c r="M84" s="38"/>
      <c r="N84" s="38"/>
      <c r="O84" s="38"/>
      <c r="P84" s="38"/>
      <c r="Q84" s="37"/>
      <c r="R84" s="37"/>
      <c r="S84" s="37"/>
      <c r="T84" s="37"/>
      <c r="U84" s="37"/>
      <c r="V84" s="37"/>
      <c r="W84" s="37"/>
      <c r="X84" s="37"/>
      <c r="Y84" s="37"/>
      <c r="Z84" s="37"/>
      <c r="AA84" s="37"/>
      <c r="AB84" s="37"/>
      <c r="AC84" s="37"/>
      <c r="AD84" s="37"/>
      <c r="AE84" s="37"/>
      <c r="AF84" s="37"/>
      <c r="AG84" s="37"/>
      <c r="AH84" s="37"/>
    </row>
    <row r="85" spans="2:34" x14ac:dyDescent="0.3">
      <c r="B85" s="9"/>
      <c r="C85" s="1"/>
      <c r="D85" s="1"/>
      <c r="E85" s="1"/>
      <c r="F85" s="1"/>
      <c r="G85" s="1"/>
      <c r="H85" s="1"/>
      <c r="I85" s="1"/>
      <c r="J85" s="38"/>
      <c r="K85" s="38"/>
      <c r="L85" s="38"/>
      <c r="M85" s="38"/>
      <c r="N85" s="38"/>
      <c r="O85" s="38"/>
      <c r="P85" s="38"/>
      <c r="Q85" s="37"/>
      <c r="R85" s="37"/>
      <c r="S85" s="37"/>
      <c r="T85" s="37"/>
      <c r="U85" s="37"/>
      <c r="V85" s="37"/>
      <c r="W85" s="37"/>
      <c r="X85" s="37"/>
      <c r="Y85" s="37"/>
      <c r="Z85" s="37"/>
      <c r="AA85" s="37"/>
      <c r="AB85" s="37"/>
      <c r="AC85" s="37"/>
      <c r="AD85" s="37"/>
      <c r="AE85" s="37"/>
      <c r="AF85" s="37"/>
      <c r="AG85" s="37"/>
      <c r="AH85" s="37"/>
    </row>
    <row r="86" spans="2:34" x14ac:dyDescent="0.3">
      <c r="B86" s="9"/>
      <c r="C86" s="1"/>
      <c r="D86" s="1"/>
      <c r="E86" s="1"/>
      <c r="F86" s="1"/>
      <c r="G86" s="1"/>
      <c r="H86" s="1"/>
      <c r="I86" s="1"/>
      <c r="J86" s="38"/>
      <c r="K86" s="38"/>
      <c r="L86" s="38"/>
      <c r="M86" s="38"/>
      <c r="N86" s="38"/>
      <c r="O86" s="38"/>
      <c r="P86" s="38"/>
      <c r="Q86" s="37"/>
      <c r="R86" s="37"/>
      <c r="S86" s="37"/>
      <c r="T86" s="37"/>
      <c r="U86" s="37"/>
      <c r="V86" s="37"/>
      <c r="W86" s="37"/>
      <c r="X86" s="37"/>
      <c r="Y86" s="37"/>
      <c r="Z86" s="37"/>
      <c r="AA86" s="37"/>
      <c r="AB86" s="37"/>
      <c r="AC86" s="37"/>
      <c r="AD86" s="37"/>
      <c r="AE86" s="37"/>
      <c r="AF86" s="37"/>
      <c r="AG86" s="37"/>
      <c r="AH86" s="37"/>
    </row>
    <row r="87" spans="2:34" x14ac:dyDescent="0.3">
      <c r="B87" s="9"/>
      <c r="F87" s="38"/>
      <c r="G87" s="38"/>
      <c r="H87" s="38"/>
      <c r="I87" s="38"/>
      <c r="J87" s="38"/>
      <c r="K87" s="38"/>
      <c r="L87" s="38"/>
      <c r="M87" s="38"/>
      <c r="N87" s="38"/>
      <c r="O87" s="38"/>
      <c r="P87" s="38"/>
      <c r="Q87" s="37"/>
      <c r="R87" s="37"/>
      <c r="S87" s="37"/>
      <c r="T87" s="37"/>
      <c r="U87" s="37"/>
      <c r="V87" s="37"/>
      <c r="W87" s="37"/>
      <c r="X87" s="37"/>
      <c r="Y87" s="37"/>
      <c r="Z87" s="37"/>
      <c r="AA87" s="37"/>
      <c r="AB87" s="37"/>
      <c r="AC87" s="37"/>
      <c r="AD87" s="37"/>
      <c r="AE87" s="37"/>
      <c r="AF87" s="37"/>
      <c r="AG87" s="37"/>
      <c r="AH87" s="37"/>
    </row>
    <row r="88" spans="2:34" x14ac:dyDescent="0.3">
      <c r="B88" s="9"/>
      <c r="F88" s="38"/>
      <c r="G88" s="38"/>
      <c r="H88" s="38"/>
      <c r="I88" s="38"/>
      <c r="J88" s="38"/>
      <c r="K88" s="38"/>
      <c r="L88" s="38"/>
      <c r="M88" s="38"/>
      <c r="N88" s="38"/>
      <c r="O88" s="38"/>
      <c r="P88" s="38"/>
      <c r="Q88" s="37"/>
      <c r="R88" s="37"/>
      <c r="S88" s="37"/>
      <c r="T88" s="37"/>
      <c r="U88" s="37"/>
      <c r="V88" s="37"/>
      <c r="W88" s="37"/>
      <c r="X88" s="37"/>
      <c r="Y88" s="37"/>
      <c r="Z88" s="37"/>
      <c r="AA88" s="37"/>
      <c r="AB88" s="37"/>
      <c r="AC88" s="37"/>
      <c r="AD88" s="37"/>
      <c r="AE88" s="37"/>
      <c r="AF88" s="37"/>
      <c r="AG88" s="37"/>
      <c r="AH88" s="37"/>
    </row>
    <row r="89" spans="2:34" x14ac:dyDescent="0.3">
      <c r="B89" s="9"/>
      <c r="F89" s="38"/>
      <c r="G89" s="38"/>
      <c r="H89" s="38"/>
      <c r="I89" s="38"/>
      <c r="J89" s="38"/>
      <c r="K89" s="38"/>
      <c r="L89" s="38"/>
      <c r="M89" s="38"/>
      <c r="N89" s="38"/>
      <c r="O89" s="38"/>
      <c r="P89" s="38"/>
      <c r="Q89" s="37"/>
      <c r="R89" s="37"/>
      <c r="S89" s="37"/>
      <c r="T89" s="37"/>
      <c r="U89" s="37"/>
      <c r="V89" s="37"/>
      <c r="W89" s="37"/>
      <c r="X89" s="37"/>
      <c r="Y89" s="37"/>
      <c r="Z89" s="37"/>
      <c r="AA89" s="37"/>
      <c r="AB89" s="37"/>
      <c r="AC89" s="37"/>
      <c r="AD89" s="37"/>
      <c r="AE89" s="37"/>
      <c r="AF89" s="37"/>
      <c r="AG89" s="37"/>
      <c r="AH89" s="37"/>
    </row>
    <row r="90" spans="2:34" ht="15" customHeight="1" x14ac:dyDescent="0.3">
      <c r="B90" s="9"/>
      <c r="F90" s="37"/>
      <c r="G90" s="37"/>
      <c r="H90" s="37"/>
      <c r="I90" s="37"/>
      <c r="J90" s="38"/>
      <c r="K90" s="38"/>
      <c r="L90" s="37"/>
      <c r="M90" s="37"/>
      <c r="N90" s="38"/>
      <c r="O90" s="37"/>
      <c r="P90" s="37"/>
      <c r="Q90" s="37"/>
      <c r="R90" s="37"/>
      <c r="S90" s="37"/>
      <c r="T90" s="37"/>
      <c r="U90" s="37"/>
      <c r="V90" s="37"/>
      <c r="W90" s="37"/>
      <c r="X90" s="37"/>
      <c r="Y90" s="37"/>
      <c r="Z90" s="37"/>
      <c r="AA90" s="37"/>
      <c r="AB90" s="37"/>
      <c r="AC90" s="37"/>
      <c r="AD90" s="37"/>
      <c r="AE90" s="37"/>
      <c r="AF90" s="37"/>
      <c r="AG90" s="37"/>
      <c r="AH90" s="37"/>
    </row>
    <row r="91" spans="2:34" ht="15" customHeight="1" x14ac:dyDescent="0.3">
      <c r="B91" s="9"/>
      <c r="C91" s="7" t="s">
        <v>57</v>
      </c>
      <c r="D91" s="7" t="s">
        <v>263</v>
      </c>
      <c r="E91" s="8" t="s">
        <v>73</v>
      </c>
      <c r="F91" s="37"/>
      <c r="G91" s="37"/>
      <c r="H91" s="37"/>
      <c r="I91" s="37"/>
      <c r="J91" s="38"/>
      <c r="K91" s="38"/>
      <c r="L91" s="37"/>
      <c r="M91" s="37"/>
      <c r="N91" s="38"/>
      <c r="O91" s="37"/>
      <c r="P91" s="37"/>
      <c r="Q91" s="37"/>
      <c r="R91" s="37"/>
      <c r="S91" s="37"/>
      <c r="T91" s="37"/>
      <c r="U91" s="37"/>
      <c r="V91" s="37"/>
      <c r="W91" s="37"/>
      <c r="X91" s="37"/>
      <c r="Y91" s="37"/>
      <c r="Z91" s="37"/>
      <c r="AA91" s="37"/>
      <c r="AB91" s="37"/>
      <c r="AC91" s="37"/>
      <c r="AD91" s="37"/>
      <c r="AE91" s="37"/>
      <c r="AF91" s="37"/>
      <c r="AG91" s="37"/>
      <c r="AH91" s="37"/>
    </row>
    <row r="92" spans="2:34" ht="15" customHeight="1" x14ac:dyDescent="0.3">
      <c r="B92" s="9"/>
      <c r="C92" s="40" t="s">
        <v>58</v>
      </c>
      <c r="D92" s="40" t="s">
        <v>264</v>
      </c>
      <c r="E92" s="41">
        <v>50</v>
      </c>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row>
    <row r="93" spans="2:34" ht="15" customHeight="1" x14ac:dyDescent="0.3">
      <c r="B93" s="9"/>
      <c r="C93" s="40" t="s">
        <v>59</v>
      </c>
      <c r="D93" s="40" t="s">
        <v>265</v>
      </c>
      <c r="E93" s="41">
        <v>20</v>
      </c>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row>
    <row r="94" spans="2:34" ht="15" customHeight="1" x14ac:dyDescent="0.3">
      <c r="B94" s="9"/>
      <c r="C94" s="40" t="s">
        <v>60</v>
      </c>
      <c r="D94" s="40" t="s">
        <v>266</v>
      </c>
      <c r="E94" s="41">
        <v>60</v>
      </c>
      <c r="H94" s="38"/>
      <c r="I94" s="38"/>
      <c r="J94" s="38"/>
      <c r="K94" s="38"/>
      <c r="L94" s="37"/>
      <c r="M94" s="37"/>
      <c r="N94" s="37"/>
      <c r="O94" s="37"/>
      <c r="P94" s="37"/>
      <c r="Q94" s="37"/>
      <c r="R94" s="37"/>
      <c r="S94" s="37"/>
      <c r="T94" s="37"/>
      <c r="U94" s="37"/>
      <c r="V94" s="37"/>
      <c r="W94" s="37"/>
      <c r="X94" s="37"/>
      <c r="Y94" s="37"/>
      <c r="Z94" s="37"/>
      <c r="AA94" s="37"/>
      <c r="AB94" s="37"/>
      <c r="AC94" s="37"/>
      <c r="AD94" s="37"/>
      <c r="AE94" s="37"/>
      <c r="AF94" s="37"/>
      <c r="AG94" s="37"/>
      <c r="AH94" s="37"/>
    </row>
    <row r="95" spans="2:34" ht="15" customHeight="1" x14ac:dyDescent="0.3">
      <c r="B95" s="9"/>
      <c r="C95" s="40" t="s">
        <v>61</v>
      </c>
      <c r="D95" s="40" t="s">
        <v>267</v>
      </c>
      <c r="E95" s="41">
        <v>40</v>
      </c>
      <c r="H95" s="38"/>
      <c r="I95" s="38"/>
      <c r="J95" s="38"/>
      <c r="K95" s="38"/>
      <c r="L95" s="37"/>
      <c r="M95" s="37"/>
      <c r="N95" s="37"/>
      <c r="O95" s="37"/>
      <c r="P95" s="37"/>
      <c r="Q95" s="37"/>
      <c r="R95" s="37"/>
      <c r="S95" s="37"/>
      <c r="T95" s="37"/>
      <c r="U95" s="37"/>
      <c r="V95" s="37"/>
      <c r="W95" s="37"/>
      <c r="X95" s="37"/>
      <c r="Y95" s="37"/>
      <c r="Z95" s="37"/>
      <c r="AA95" s="37"/>
      <c r="AB95" s="37"/>
      <c r="AC95" s="37"/>
      <c r="AD95" s="37"/>
      <c r="AE95" s="37"/>
      <c r="AF95" s="37"/>
      <c r="AG95" s="37"/>
      <c r="AH95" s="37"/>
    </row>
    <row r="96" spans="2:34" ht="15" customHeight="1" x14ac:dyDescent="0.3">
      <c r="B96" s="9"/>
      <c r="C96" s="40" t="s">
        <v>58</v>
      </c>
      <c r="D96" s="40" t="s">
        <v>268</v>
      </c>
      <c r="E96" s="41">
        <v>50</v>
      </c>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row>
    <row r="97" spans="2:34" x14ac:dyDescent="0.3">
      <c r="B97" s="9"/>
      <c r="C97" s="40" t="s">
        <v>59</v>
      </c>
      <c r="D97" s="40" t="s">
        <v>269</v>
      </c>
      <c r="E97" s="41">
        <v>20</v>
      </c>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row>
    <row r="98" spans="2:34" x14ac:dyDescent="0.3">
      <c r="B98" s="9"/>
      <c r="C98" s="40" t="s">
        <v>60</v>
      </c>
      <c r="D98" s="40" t="s">
        <v>270</v>
      </c>
      <c r="E98" s="41">
        <v>60</v>
      </c>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row>
    <row r="99" spans="2:34" x14ac:dyDescent="0.3">
      <c r="B99" s="9"/>
      <c r="C99" s="40" t="s">
        <v>61</v>
      </c>
      <c r="D99" s="40" t="s">
        <v>271</v>
      </c>
      <c r="E99" s="41">
        <v>40</v>
      </c>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row>
    <row r="100" spans="2:34" x14ac:dyDescent="0.3">
      <c r="B100" s="9"/>
      <c r="C100" s="40" t="s">
        <v>58</v>
      </c>
      <c r="D100" s="40" t="s">
        <v>268</v>
      </c>
      <c r="E100" s="41">
        <v>50</v>
      </c>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row>
    <row r="101" spans="2:34" x14ac:dyDescent="0.3">
      <c r="B101" s="9"/>
      <c r="C101" s="40" t="s">
        <v>59</v>
      </c>
      <c r="D101" s="40" t="s">
        <v>269</v>
      </c>
      <c r="E101" s="41">
        <v>20</v>
      </c>
      <c r="F101" s="37"/>
      <c r="G101" s="37"/>
    </row>
    <row r="102" spans="2:34" ht="15" customHeight="1" x14ac:dyDescent="0.3">
      <c r="B102" s="9"/>
      <c r="C102" s="40" t="s">
        <v>60</v>
      </c>
      <c r="D102" s="40" t="s">
        <v>266</v>
      </c>
      <c r="E102" s="41">
        <v>60</v>
      </c>
      <c r="F102" s="37"/>
      <c r="G102" s="37"/>
    </row>
    <row r="103" spans="2:34" ht="15" customHeight="1" x14ac:dyDescent="0.3">
      <c r="B103" s="9"/>
      <c r="C103" s="40" t="s">
        <v>61</v>
      </c>
      <c r="D103" s="40" t="s">
        <v>271</v>
      </c>
      <c r="E103" s="41">
        <v>40</v>
      </c>
      <c r="F103" s="37"/>
      <c r="G103" s="37"/>
    </row>
    <row r="104" spans="2:34" ht="15" customHeight="1" x14ac:dyDescent="0.3">
      <c r="B104" s="9"/>
      <c r="C104" s="38"/>
      <c r="D104" s="38"/>
      <c r="E104" s="39"/>
    </row>
    <row r="105" spans="2:34" ht="15" customHeight="1" thickBot="1" x14ac:dyDescent="0.35">
      <c r="B105" s="9"/>
      <c r="C105" s="38" t="s">
        <v>57</v>
      </c>
      <c r="D105" s="38" t="s">
        <v>263</v>
      </c>
      <c r="E105" s="23" t="s">
        <v>272</v>
      </c>
    </row>
    <row r="106" spans="2:34" ht="15" customHeight="1" thickTop="1" thickBot="1" x14ac:dyDescent="0.35">
      <c r="B106" s="9"/>
      <c r="C106" s="46"/>
      <c r="D106" s="46"/>
      <c r="E106" s="42"/>
    </row>
    <row r="107" spans="2:34" ht="15" customHeight="1" thickTop="1" x14ac:dyDescent="0.3">
      <c r="B107" s="9"/>
      <c r="E107" s="37"/>
    </row>
    <row r="108" spans="2:34" x14ac:dyDescent="0.3">
      <c r="E108" s="37"/>
    </row>
    <row r="109" spans="2:34" x14ac:dyDescent="0.3">
      <c r="E109" s="37"/>
    </row>
    <row r="110" spans="2:34" x14ac:dyDescent="0.3">
      <c r="E110" s="37"/>
    </row>
    <row r="117" spans="3:4" x14ac:dyDescent="0.3">
      <c r="C117" s="7" t="s">
        <v>63</v>
      </c>
      <c r="D117" s="8" t="s">
        <v>73</v>
      </c>
    </row>
    <row r="118" spans="3:4" x14ac:dyDescent="0.3">
      <c r="C118" s="13" t="s">
        <v>64</v>
      </c>
      <c r="D118" s="13">
        <v>50</v>
      </c>
    </row>
    <row r="119" spans="3:4" x14ac:dyDescent="0.3">
      <c r="C119" s="13" t="s">
        <v>65</v>
      </c>
      <c r="D119" s="13">
        <v>100</v>
      </c>
    </row>
    <row r="120" spans="3:4" x14ac:dyDescent="0.3">
      <c r="C120" s="13" t="s">
        <v>66</v>
      </c>
      <c r="D120" s="13">
        <v>40</v>
      </c>
    </row>
    <row r="121" spans="3:4" x14ac:dyDescent="0.3">
      <c r="C121" s="13" t="s">
        <v>67</v>
      </c>
      <c r="D121" s="13">
        <v>50</v>
      </c>
    </row>
    <row r="122" spans="3:4" ht="15" thickBot="1" x14ac:dyDescent="0.35">
      <c r="C122" s="13" t="s">
        <v>68</v>
      </c>
      <c r="D122" s="13">
        <v>20</v>
      </c>
    </row>
    <row r="123" spans="3:4" ht="15.6" thickTop="1" thickBot="1" x14ac:dyDescent="0.35">
      <c r="C123" s="51"/>
      <c r="D123" s="52"/>
    </row>
    <row r="124" spans="3:4" ht="15" thickTop="1" x14ac:dyDescent="0.3"/>
  </sheetData>
  <dataValidations count="2">
    <dataValidation type="list" allowBlank="1" showInputMessage="1" showErrorMessage="1" sqref="C17 F64 F17 C64 C106" xr:uid="{00000000-0002-0000-0900-000000000000}">
      <formula1>lst_Fruta</formula1>
    </dataValidation>
    <dataValidation type="list" allowBlank="1" showInputMessage="1" showErrorMessage="1" sqref="G17 G64 D106" xr:uid="{00000000-0002-0000-0900-000001000000}">
      <formula1>INDIRECT(C17)</formula1>
    </dataValidation>
  </dataValidations>
  <pageMargins left="0.7" right="0.7" top="0.75" bottom="0.75" header="0.3" footer="0.3"/>
  <pageSetup paperSize="9" scale="63" fitToHeight="0" orientation="landscape" r:id="rId1"/>
  <rowBreaks count="2" manualBreakCount="2">
    <brk id="90" max="10" man="1"/>
    <brk id="138" max="10" man="1"/>
  </rowBreaks>
  <drawing r:id="rId2"/>
  <tableParts count="5">
    <tablePart r:id="rId3"/>
    <tablePart r:id="rId4"/>
    <tablePart r:id="rId5"/>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D14"/>
  <sheetViews>
    <sheetView showGridLines="0" view="pageBreakPreview" topLeftCell="A12" zoomScaleNormal="100" zoomScaleSheetLayoutView="100" workbookViewId="0">
      <selection activeCell="I16" sqref="I16"/>
    </sheetView>
  </sheetViews>
  <sheetFormatPr defaultRowHeight="14.4" x14ac:dyDescent="0.3"/>
  <cols>
    <col min="1" max="1" width="13" customWidth="1"/>
    <col min="2" max="2" width="82.88671875" customWidth="1"/>
    <col min="3" max="4" width="13.109375" customWidth="1"/>
  </cols>
  <sheetData>
    <row r="1" spans="1:4" ht="60" customHeight="1" x14ac:dyDescent="0.3">
      <c r="A1" s="25" t="s">
        <v>275</v>
      </c>
      <c r="C1" s="69"/>
      <c r="D1" s="81"/>
    </row>
    <row r="2" spans="1:4" x14ac:dyDescent="0.3">
      <c r="A2" s="25" t="s">
        <v>276</v>
      </c>
    </row>
    <row r="3" spans="1:4" ht="15" customHeight="1" x14ac:dyDescent="0.3">
      <c r="A3" s="27" t="s">
        <v>277</v>
      </c>
    </row>
    <row r="4" spans="1:4" ht="15" customHeight="1" x14ac:dyDescent="0.3">
      <c r="A4" s="27" t="s">
        <v>278</v>
      </c>
      <c r="C4" s="31" t="s">
        <v>57</v>
      </c>
      <c r="D4" s="29" t="s">
        <v>73</v>
      </c>
    </row>
    <row r="5" spans="1:4" ht="15" customHeight="1" x14ac:dyDescent="0.3">
      <c r="A5" s="27" t="s">
        <v>279</v>
      </c>
      <c r="C5" s="40" t="s">
        <v>58</v>
      </c>
      <c r="D5" s="41">
        <v>50</v>
      </c>
    </row>
    <row r="6" spans="1:4" x14ac:dyDescent="0.3">
      <c r="A6" s="25" t="s">
        <v>280</v>
      </c>
      <c r="C6" s="40" t="s">
        <v>59</v>
      </c>
      <c r="D6" s="41">
        <v>20</v>
      </c>
    </row>
    <row r="7" spans="1:4" ht="15" customHeight="1" x14ac:dyDescent="0.3">
      <c r="A7" s="27" t="s">
        <v>281</v>
      </c>
      <c r="C7" s="40" t="s">
        <v>60</v>
      </c>
      <c r="D7" s="41">
        <v>60</v>
      </c>
    </row>
    <row r="8" spans="1:4" ht="15" customHeight="1" x14ac:dyDescent="0.3">
      <c r="A8" s="25" t="s">
        <v>23</v>
      </c>
      <c r="C8" s="40" t="s">
        <v>61</v>
      </c>
      <c r="D8" s="41">
        <v>40</v>
      </c>
    </row>
    <row r="9" spans="1:4" ht="15" customHeight="1" thickBot="1" x14ac:dyDescent="0.35">
      <c r="A9" s="25" t="s">
        <v>24</v>
      </c>
      <c r="C9" s="38"/>
      <c r="D9" s="38"/>
    </row>
    <row r="10" spans="1:4" ht="15.6" thickTop="1" thickBot="1" x14ac:dyDescent="0.35">
      <c r="A10" s="25" t="s">
        <v>25</v>
      </c>
      <c r="C10" s="54" t="s">
        <v>58</v>
      </c>
      <c r="D10" s="42">
        <f>VLOOKUP(C10,C5:D8,2,FALSE)</f>
        <v>50</v>
      </c>
    </row>
    <row r="11" spans="1:4" ht="15" thickTop="1" x14ac:dyDescent="0.3">
      <c r="A11" s="25" t="s">
        <v>27</v>
      </c>
    </row>
    <row r="12" spans="1:4" x14ac:dyDescent="0.3">
      <c r="A12" s="25" t="s">
        <v>282</v>
      </c>
    </row>
    <row r="13" spans="1:4" x14ac:dyDescent="0.3">
      <c r="A13" s="25" t="s">
        <v>283</v>
      </c>
    </row>
    <row r="14" spans="1:4" x14ac:dyDescent="0.3">
      <c r="A14" s="25" t="s">
        <v>30</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paperSize="9" scale="88"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D37"/>
  <sheetViews>
    <sheetView showGridLines="0" view="pageBreakPreview" zoomScaleNormal="100" zoomScaleSheetLayoutView="100" workbookViewId="0">
      <selection activeCell="I16" sqref="I16"/>
    </sheetView>
  </sheetViews>
  <sheetFormatPr defaultRowHeight="14.4" x14ac:dyDescent="0.3"/>
  <cols>
    <col min="1" max="1" width="13" customWidth="1"/>
    <col min="2" max="2" width="82.88671875" customWidth="1"/>
    <col min="3" max="4" width="13.33203125" customWidth="1"/>
  </cols>
  <sheetData>
    <row r="1" spans="1:4" ht="60" customHeight="1" x14ac:dyDescent="0.3">
      <c r="A1" s="25" t="s">
        <v>284</v>
      </c>
      <c r="C1" s="69"/>
      <c r="D1" s="86"/>
    </row>
    <row r="2" spans="1:4" ht="15" customHeight="1" x14ac:dyDescent="0.3">
      <c r="A2" s="25" t="s">
        <v>285</v>
      </c>
      <c r="C2" s="85"/>
      <c r="D2" s="85"/>
    </row>
    <row r="3" spans="1:4" x14ac:dyDescent="0.3">
      <c r="A3" s="25" t="s">
        <v>286</v>
      </c>
      <c r="C3" s="31" t="s">
        <v>57</v>
      </c>
      <c r="D3" s="29" t="s">
        <v>73</v>
      </c>
    </row>
    <row r="4" spans="1:4" x14ac:dyDescent="0.3">
      <c r="A4" s="25" t="s">
        <v>287</v>
      </c>
      <c r="C4" s="104" t="s">
        <v>58</v>
      </c>
      <c r="D4" s="105">
        <v>50</v>
      </c>
    </row>
    <row r="5" spans="1:4" x14ac:dyDescent="0.3">
      <c r="A5" s="25" t="s">
        <v>288</v>
      </c>
      <c r="C5" s="104" t="s">
        <v>59</v>
      </c>
      <c r="D5" s="105">
        <v>20</v>
      </c>
    </row>
    <row r="6" spans="1:4" x14ac:dyDescent="0.3">
      <c r="A6" s="25" t="s">
        <v>289</v>
      </c>
      <c r="C6" s="104" t="s">
        <v>60</v>
      </c>
      <c r="D6" s="105">
        <v>60</v>
      </c>
    </row>
    <row r="7" spans="1:4" ht="15" customHeight="1" x14ac:dyDescent="0.3">
      <c r="A7" s="27" t="s">
        <v>290</v>
      </c>
      <c r="C7" s="104" t="s">
        <v>61</v>
      </c>
      <c r="D7" s="105">
        <v>40</v>
      </c>
    </row>
    <row r="8" spans="1:4" ht="15" thickBot="1" x14ac:dyDescent="0.35">
      <c r="A8" s="25" t="s">
        <v>23</v>
      </c>
      <c r="C8" s="38"/>
      <c r="D8" s="38"/>
    </row>
    <row r="9" spans="1:4" ht="15.6" thickTop="1" thickBot="1" x14ac:dyDescent="0.35">
      <c r="A9" s="25" t="s">
        <v>24</v>
      </c>
      <c r="C9" s="84" t="s">
        <v>193</v>
      </c>
      <c r="D9" s="42" t="e">
        <f>VLOOKUP(C9,C3:D7,2,FALSE)</f>
        <v>#N/A</v>
      </c>
    </row>
    <row r="10" spans="1:4" ht="15" thickTop="1" x14ac:dyDescent="0.3">
      <c r="A10" s="25" t="s">
        <v>25</v>
      </c>
    </row>
    <row r="11" spans="1:4" x14ac:dyDescent="0.3">
      <c r="A11" s="25" t="s">
        <v>291</v>
      </c>
    </row>
    <row r="12" spans="1:4" x14ac:dyDescent="0.3">
      <c r="A12" s="25" t="s">
        <v>292</v>
      </c>
    </row>
    <row r="13" spans="1:4" x14ac:dyDescent="0.3">
      <c r="A13" s="25" t="s">
        <v>293</v>
      </c>
    </row>
    <row r="14" spans="1:4" x14ac:dyDescent="0.3">
      <c r="A14" s="25" t="s">
        <v>30</v>
      </c>
    </row>
    <row r="30" spans="3:4" x14ac:dyDescent="0.3">
      <c r="C30" s="31" t="s">
        <v>57</v>
      </c>
      <c r="D30" s="29" t="s">
        <v>73</v>
      </c>
    </row>
    <row r="31" spans="3:4" x14ac:dyDescent="0.3">
      <c r="C31" s="104" t="s">
        <v>58</v>
      </c>
      <c r="D31" s="105">
        <v>50</v>
      </c>
    </row>
    <row r="32" spans="3:4" x14ac:dyDescent="0.3">
      <c r="C32" s="104" t="s">
        <v>59</v>
      </c>
      <c r="D32" s="105">
        <v>20</v>
      </c>
    </row>
    <row r="33" spans="3:4" x14ac:dyDescent="0.3">
      <c r="C33" s="104" t="s">
        <v>60</v>
      </c>
      <c r="D33" s="105">
        <v>60</v>
      </c>
    </row>
    <row r="34" spans="3:4" x14ac:dyDescent="0.3">
      <c r="C34" s="104" t="s">
        <v>61</v>
      </c>
      <c r="D34" s="105">
        <v>40</v>
      </c>
    </row>
    <row r="35" spans="3:4" ht="15" thickBot="1" x14ac:dyDescent="0.35"/>
    <row r="36" spans="3:4" ht="15.6" thickTop="1" thickBot="1" x14ac:dyDescent="0.35">
      <c r="C36" s="84" t="s">
        <v>200</v>
      </c>
      <c r="D36" s="42" t="e">
        <f ca="1">sume(D31:D34)</f>
        <v>#NAME?</v>
      </c>
    </row>
    <row r="37" spans="3:4" ht="15" thickTop="1" x14ac:dyDescent="0.3"/>
  </sheetData>
  <dataValidations disablePrompts="1" count="1">
    <dataValidation type="list" allowBlank="1" showInputMessage="1" showErrorMessage="1" sqref="C9" xr:uid="{00000000-0002-0000-0B00-000000000000}">
      <formula1>$C$9:$C$38</formula1>
    </dataValidation>
  </dataValidations>
  <pageMargins left="0.7" right="0.7" top="0.75" bottom="0.75" header="0.3" footer="0.3"/>
  <pageSetup paperSize="9" scale="82" fitToHeight="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622A9-92B0-4F2E-9967-D6CAB9F429AC}">
  <sheetPr>
    <pageSetUpPr fitToPage="1"/>
  </sheetPr>
  <dimension ref="A1:D64"/>
  <sheetViews>
    <sheetView view="pageBreakPreview" zoomScaleNormal="100" zoomScaleSheetLayoutView="100" workbookViewId="0">
      <selection activeCell="I16" sqref="I16"/>
    </sheetView>
  </sheetViews>
  <sheetFormatPr defaultRowHeight="13.2" x14ac:dyDescent="0.25"/>
  <cols>
    <col min="1" max="1" width="2" style="125" customWidth="1"/>
    <col min="2" max="2" width="39.5546875" style="125" customWidth="1"/>
    <col min="3" max="3" width="2.109375" style="125" customWidth="1"/>
    <col min="4" max="4" width="76" style="125" customWidth="1"/>
    <col min="5" max="16384" width="8.88671875" style="125"/>
  </cols>
  <sheetData>
    <row r="1" spans="1:4" ht="22.8" x14ac:dyDescent="0.4">
      <c r="A1" s="144" t="s">
        <v>410</v>
      </c>
      <c r="B1" s="144"/>
      <c r="C1" s="144"/>
      <c r="D1" s="144"/>
    </row>
    <row r="3" spans="1:4" x14ac:dyDescent="0.25">
      <c r="A3" s="143" t="s">
        <v>409</v>
      </c>
      <c r="B3" s="143"/>
      <c r="C3" s="128"/>
      <c r="D3" s="126"/>
    </row>
    <row r="4" spans="1:4" x14ac:dyDescent="0.25">
      <c r="A4" s="129"/>
      <c r="B4" s="127" t="s">
        <v>408</v>
      </c>
      <c r="C4" s="128"/>
      <c r="D4" s="126" t="s">
        <v>407</v>
      </c>
    </row>
    <row r="5" spans="1:4" x14ac:dyDescent="0.25">
      <c r="A5" s="129"/>
      <c r="B5" s="127" t="s">
        <v>406</v>
      </c>
      <c r="C5" s="128"/>
      <c r="D5" s="126" t="s">
        <v>405</v>
      </c>
    </row>
    <row r="6" spans="1:4" x14ac:dyDescent="0.25">
      <c r="A6" s="129"/>
      <c r="B6" s="127" t="s">
        <v>404</v>
      </c>
      <c r="C6" s="128"/>
      <c r="D6" s="126" t="s">
        <v>403</v>
      </c>
    </row>
    <row r="7" spans="1:4" x14ac:dyDescent="0.25">
      <c r="A7" s="129"/>
      <c r="B7" s="127" t="s">
        <v>402</v>
      </c>
      <c r="C7" s="128"/>
      <c r="D7" s="126" t="s">
        <v>401</v>
      </c>
    </row>
    <row r="8" spans="1:4" x14ac:dyDescent="0.25">
      <c r="A8" s="129"/>
      <c r="B8" s="127" t="s">
        <v>400</v>
      </c>
      <c r="C8" s="128"/>
      <c r="D8" s="126" t="s">
        <v>399</v>
      </c>
    </row>
    <row r="9" spans="1:4" ht="26.4" x14ac:dyDescent="0.25">
      <c r="A9" s="129"/>
      <c r="B9" s="127" t="s">
        <v>398</v>
      </c>
      <c r="C9" s="128"/>
      <c r="D9" s="126" t="s">
        <v>397</v>
      </c>
    </row>
    <row r="10" spans="1:4" x14ac:dyDescent="0.25">
      <c r="A10" s="129"/>
      <c r="B10" s="127" t="s">
        <v>396</v>
      </c>
      <c r="C10" s="128"/>
      <c r="D10" s="126" t="s">
        <v>395</v>
      </c>
    </row>
    <row r="11" spans="1:4" x14ac:dyDescent="0.25">
      <c r="A11" s="129"/>
      <c r="B11" s="127" t="s">
        <v>394</v>
      </c>
      <c r="C11" s="128"/>
      <c r="D11" s="126" t="s">
        <v>393</v>
      </c>
    </row>
    <row r="12" spans="1:4" x14ac:dyDescent="0.25">
      <c r="A12" s="129"/>
      <c r="B12" s="127" t="s">
        <v>392</v>
      </c>
      <c r="C12" s="128"/>
      <c r="D12" s="126" t="s">
        <v>391</v>
      </c>
    </row>
    <row r="13" spans="1:4" x14ac:dyDescent="0.25">
      <c r="A13" s="129"/>
      <c r="B13" s="127" t="s">
        <v>390</v>
      </c>
      <c r="C13" s="128"/>
      <c r="D13" s="126" t="s">
        <v>389</v>
      </c>
    </row>
    <row r="14" spans="1:4" x14ac:dyDescent="0.25">
      <c r="A14" s="129"/>
      <c r="B14" s="129"/>
      <c r="C14" s="128"/>
      <c r="D14" s="126"/>
    </row>
    <row r="15" spans="1:4" x14ac:dyDescent="0.25">
      <c r="A15" s="143" t="s">
        <v>388</v>
      </c>
      <c r="B15" s="143"/>
      <c r="C15" s="128"/>
      <c r="D15" s="126"/>
    </row>
    <row r="16" spans="1:4" x14ac:dyDescent="0.25">
      <c r="A16" s="129"/>
      <c r="B16" s="127" t="s">
        <v>387</v>
      </c>
      <c r="C16" s="128"/>
      <c r="D16" s="126" t="s">
        <v>385</v>
      </c>
    </row>
    <row r="17" spans="1:4" x14ac:dyDescent="0.25">
      <c r="A17" s="129"/>
      <c r="B17" s="127" t="s">
        <v>386</v>
      </c>
      <c r="C17" s="128"/>
      <c r="D17" s="126" t="s">
        <v>385</v>
      </c>
    </row>
    <row r="18" spans="1:4" x14ac:dyDescent="0.25">
      <c r="A18" s="129"/>
      <c r="B18" s="127" t="s">
        <v>384</v>
      </c>
      <c r="C18" s="128"/>
      <c r="D18" s="126" t="s">
        <v>383</v>
      </c>
    </row>
    <row r="19" spans="1:4" x14ac:dyDescent="0.25">
      <c r="A19" s="129"/>
      <c r="B19" s="127" t="s">
        <v>382</v>
      </c>
      <c r="C19" s="128"/>
      <c r="D19" s="126" t="s">
        <v>381</v>
      </c>
    </row>
    <row r="20" spans="1:4" ht="26.4" x14ac:dyDescent="0.25">
      <c r="A20" s="129"/>
      <c r="B20" s="127" t="s">
        <v>380</v>
      </c>
      <c r="C20" s="128"/>
      <c r="D20" s="126" t="s">
        <v>379</v>
      </c>
    </row>
    <row r="21" spans="1:4" x14ac:dyDescent="0.25">
      <c r="A21" s="129"/>
      <c r="B21" s="129"/>
      <c r="C21" s="128"/>
      <c r="D21" s="126"/>
    </row>
    <row r="22" spans="1:4" x14ac:dyDescent="0.25">
      <c r="A22" s="143" t="s">
        <v>378</v>
      </c>
      <c r="B22" s="143"/>
      <c r="C22" s="128"/>
      <c r="D22" s="126"/>
    </row>
    <row r="23" spans="1:4" x14ac:dyDescent="0.25">
      <c r="A23" s="129"/>
      <c r="B23" s="127" t="s">
        <v>377</v>
      </c>
      <c r="C23" s="128"/>
      <c r="D23" s="126" t="s">
        <v>376</v>
      </c>
    </row>
    <row r="24" spans="1:4" x14ac:dyDescent="0.25">
      <c r="A24" s="129"/>
      <c r="B24" s="127" t="s">
        <v>375</v>
      </c>
      <c r="C24" s="128"/>
      <c r="D24" s="126" t="s">
        <v>374</v>
      </c>
    </row>
    <row r="25" spans="1:4" x14ac:dyDescent="0.25">
      <c r="A25" s="129"/>
      <c r="B25" s="127" t="s">
        <v>373</v>
      </c>
      <c r="C25" s="128"/>
      <c r="D25" s="126" t="s">
        <v>372</v>
      </c>
    </row>
    <row r="26" spans="1:4" x14ac:dyDescent="0.25">
      <c r="A26" s="129"/>
      <c r="B26" s="127" t="s">
        <v>371</v>
      </c>
      <c r="C26" s="128"/>
      <c r="D26" s="126" t="s">
        <v>370</v>
      </c>
    </row>
    <row r="27" spans="1:4" x14ac:dyDescent="0.25">
      <c r="A27" s="129"/>
      <c r="B27" s="127" t="s">
        <v>369</v>
      </c>
      <c r="C27" s="128"/>
      <c r="D27" s="126" t="s">
        <v>368</v>
      </c>
    </row>
    <row r="28" spans="1:4" x14ac:dyDescent="0.25">
      <c r="A28" s="129"/>
      <c r="B28" s="127" t="s">
        <v>367</v>
      </c>
      <c r="C28" s="128"/>
      <c r="D28" s="126" t="s">
        <v>366</v>
      </c>
    </row>
    <row r="29" spans="1:4" x14ac:dyDescent="0.25">
      <c r="A29" s="129"/>
      <c r="B29" s="127" t="s">
        <v>365</v>
      </c>
      <c r="C29" s="128"/>
      <c r="D29" s="126" t="s">
        <v>364</v>
      </c>
    </row>
    <row r="30" spans="1:4" x14ac:dyDescent="0.25">
      <c r="A30" s="129"/>
      <c r="B30" s="127" t="s">
        <v>363</v>
      </c>
      <c r="C30" s="128"/>
      <c r="D30" s="126" t="s">
        <v>362</v>
      </c>
    </row>
    <row r="31" spans="1:4" ht="39.6" x14ac:dyDescent="0.25">
      <c r="A31" s="129"/>
      <c r="B31" s="127" t="s">
        <v>361</v>
      </c>
      <c r="C31" s="128"/>
      <c r="D31" s="126" t="s">
        <v>360</v>
      </c>
    </row>
    <row r="32" spans="1:4" x14ac:dyDescent="0.25">
      <c r="A32" s="129"/>
      <c r="B32" s="129"/>
      <c r="C32" s="128"/>
      <c r="D32" s="126"/>
    </row>
    <row r="33" spans="1:4" x14ac:dyDescent="0.25">
      <c r="A33" s="143" t="s">
        <v>359</v>
      </c>
      <c r="B33" s="143"/>
      <c r="C33" s="128"/>
      <c r="D33" s="126"/>
    </row>
    <row r="34" spans="1:4" x14ac:dyDescent="0.25">
      <c r="A34" s="129"/>
      <c r="B34" s="127" t="s">
        <v>358</v>
      </c>
      <c r="C34" s="128"/>
      <c r="D34" s="126" t="s">
        <v>357</v>
      </c>
    </row>
    <row r="35" spans="1:4" x14ac:dyDescent="0.25">
      <c r="A35" s="129"/>
      <c r="B35" s="127" t="s">
        <v>356</v>
      </c>
      <c r="C35" s="128"/>
      <c r="D35" s="126" t="s">
        <v>355</v>
      </c>
    </row>
    <row r="36" spans="1:4" x14ac:dyDescent="0.25">
      <c r="A36" s="129"/>
      <c r="B36" s="127" t="s">
        <v>354</v>
      </c>
      <c r="C36" s="128"/>
      <c r="D36" s="126" t="s">
        <v>353</v>
      </c>
    </row>
    <row r="37" spans="1:4" x14ac:dyDescent="0.25">
      <c r="A37" s="129"/>
      <c r="B37" s="127" t="s">
        <v>352</v>
      </c>
      <c r="C37" s="128"/>
      <c r="D37" s="126" t="s">
        <v>351</v>
      </c>
    </row>
    <row r="38" spans="1:4" x14ac:dyDescent="0.25">
      <c r="A38" s="129"/>
      <c r="B38" s="127" t="s">
        <v>350</v>
      </c>
      <c r="C38" s="128"/>
      <c r="D38" s="126" t="s">
        <v>349</v>
      </c>
    </row>
    <row r="39" spans="1:4" x14ac:dyDescent="0.25">
      <c r="A39" s="129"/>
      <c r="B39" s="127" t="s">
        <v>348</v>
      </c>
      <c r="C39" s="128"/>
      <c r="D39" s="126" t="s">
        <v>347</v>
      </c>
    </row>
    <row r="40" spans="1:4" x14ac:dyDescent="0.25">
      <c r="A40" s="129"/>
      <c r="B40" s="127" t="s">
        <v>346</v>
      </c>
      <c r="C40" s="128"/>
      <c r="D40" s="126" t="s">
        <v>345</v>
      </c>
    </row>
    <row r="41" spans="1:4" x14ac:dyDescent="0.25">
      <c r="A41" s="129"/>
      <c r="B41" s="127" t="s">
        <v>344</v>
      </c>
      <c r="C41" s="128"/>
      <c r="D41" s="126" t="s">
        <v>343</v>
      </c>
    </row>
    <row r="42" spans="1:4" x14ac:dyDescent="0.25">
      <c r="A42" s="129"/>
      <c r="B42" s="127" t="s">
        <v>342</v>
      </c>
      <c r="C42" s="128"/>
      <c r="D42" s="126" t="s">
        <v>341</v>
      </c>
    </row>
    <row r="43" spans="1:4" x14ac:dyDescent="0.25">
      <c r="A43" s="129"/>
      <c r="B43" s="127" t="s">
        <v>340</v>
      </c>
      <c r="C43" s="128"/>
      <c r="D43" s="126" t="s">
        <v>339</v>
      </c>
    </row>
    <row r="44" spans="1:4" x14ac:dyDescent="0.25">
      <c r="A44" s="129"/>
      <c r="B44" s="127" t="s">
        <v>338</v>
      </c>
      <c r="C44" s="128"/>
      <c r="D44" s="126" t="s">
        <v>337</v>
      </c>
    </row>
    <row r="45" spans="1:4" x14ac:dyDescent="0.25">
      <c r="A45" s="129"/>
      <c r="B45" s="127" t="s">
        <v>336</v>
      </c>
      <c r="C45" s="128"/>
      <c r="D45" s="126" t="s">
        <v>335</v>
      </c>
    </row>
    <row r="46" spans="1:4" x14ac:dyDescent="0.25">
      <c r="A46" s="129"/>
      <c r="B46" s="129"/>
      <c r="C46" s="128"/>
      <c r="D46" s="126"/>
    </row>
    <row r="47" spans="1:4" x14ac:dyDescent="0.25">
      <c r="A47" s="143" t="s">
        <v>334</v>
      </c>
      <c r="B47" s="143"/>
      <c r="C47" s="128"/>
      <c r="D47" s="126"/>
    </row>
    <row r="48" spans="1:4" ht="26.4" x14ac:dyDescent="0.25">
      <c r="A48" s="129"/>
      <c r="B48" s="127" t="s">
        <v>333</v>
      </c>
      <c r="C48" s="128"/>
      <c r="D48" s="126" t="s">
        <v>332</v>
      </c>
    </row>
    <row r="49" spans="1:4" x14ac:dyDescent="0.25">
      <c r="A49" s="129"/>
      <c r="B49" s="127" t="s">
        <v>331</v>
      </c>
      <c r="C49" s="128"/>
      <c r="D49" s="126" t="s">
        <v>330</v>
      </c>
    </row>
    <row r="50" spans="1:4" x14ac:dyDescent="0.25">
      <c r="A50" s="129"/>
      <c r="B50" s="127" t="s">
        <v>329</v>
      </c>
      <c r="C50" s="128"/>
      <c r="D50" s="126" t="s">
        <v>328</v>
      </c>
    </row>
    <row r="51" spans="1:4" x14ac:dyDescent="0.25">
      <c r="A51" s="129"/>
      <c r="B51" s="129"/>
      <c r="C51" s="128"/>
      <c r="D51" s="126"/>
    </row>
    <row r="52" spans="1:4" x14ac:dyDescent="0.25">
      <c r="A52" s="143" t="s">
        <v>327</v>
      </c>
      <c r="B52" s="143"/>
      <c r="C52" s="128"/>
      <c r="D52" s="126"/>
    </row>
    <row r="53" spans="1:4" x14ac:dyDescent="0.25">
      <c r="A53" s="129"/>
      <c r="B53" s="127" t="s">
        <v>326</v>
      </c>
      <c r="C53" s="128"/>
      <c r="D53" s="126" t="s">
        <v>325</v>
      </c>
    </row>
    <row r="54" spans="1:4" ht="26.4" x14ac:dyDescent="0.25">
      <c r="A54" s="129"/>
      <c r="B54" s="127" t="s">
        <v>324</v>
      </c>
      <c r="C54" s="128"/>
      <c r="D54" s="126" t="s">
        <v>323</v>
      </c>
    </row>
    <row r="55" spans="1:4" ht="26.4" x14ac:dyDescent="0.25">
      <c r="A55" s="129"/>
      <c r="B55" s="127" t="s">
        <v>322</v>
      </c>
      <c r="C55" s="128"/>
      <c r="D55" s="126" t="s">
        <v>321</v>
      </c>
    </row>
    <row r="56" spans="1:4" ht="26.4" x14ac:dyDescent="0.25">
      <c r="A56" s="129"/>
      <c r="B56" s="127" t="s">
        <v>320</v>
      </c>
      <c r="C56" s="128"/>
      <c r="D56" s="126" t="s">
        <v>319</v>
      </c>
    </row>
    <row r="57" spans="1:4" ht="26.4" x14ac:dyDescent="0.25">
      <c r="A57" s="129"/>
      <c r="B57" s="127" t="s">
        <v>318</v>
      </c>
      <c r="C57" s="128"/>
      <c r="D57" s="126" t="s">
        <v>317</v>
      </c>
    </row>
    <row r="58" spans="1:4" x14ac:dyDescent="0.25">
      <c r="A58" s="129"/>
      <c r="B58" s="127" t="s">
        <v>316</v>
      </c>
      <c r="C58" s="128"/>
      <c r="D58" s="126" t="s">
        <v>315</v>
      </c>
    </row>
    <row r="59" spans="1:4" x14ac:dyDescent="0.25">
      <c r="A59" s="129"/>
      <c r="B59" s="127" t="s">
        <v>314</v>
      </c>
      <c r="C59" s="128"/>
      <c r="D59" s="126" t="s">
        <v>313</v>
      </c>
    </row>
    <row r="60" spans="1:4" x14ac:dyDescent="0.25">
      <c r="A60" s="143" t="s">
        <v>312</v>
      </c>
      <c r="B60" s="143"/>
      <c r="C60" s="128"/>
      <c r="D60" s="126"/>
    </row>
    <row r="61" spans="1:4" ht="26.4" x14ac:dyDescent="0.25">
      <c r="A61" s="127"/>
      <c r="B61" s="127" t="s">
        <v>311</v>
      </c>
      <c r="C61" s="126"/>
      <c r="D61" s="126" t="s">
        <v>310</v>
      </c>
    </row>
    <row r="62" spans="1:4" ht="26.4" x14ac:dyDescent="0.25">
      <c r="A62" s="127"/>
      <c r="B62" s="127" t="s">
        <v>309</v>
      </c>
      <c r="C62" s="126"/>
      <c r="D62" s="126" t="s">
        <v>308</v>
      </c>
    </row>
    <row r="63" spans="1:4" ht="26.4" x14ac:dyDescent="0.25">
      <c r="A63" s="127"/>
      <c r="B63" s="127" t="s">
        <v>307</v>
      </c>
      <c r="C63" s="126"/>
      <c r="D63" s="126" t="s">
        <v>306</v>
      </c>
    </row>
    <row r="64" spans="1:4" ht="26.4" x14ac:dyDescent="0.25">
      <c r="A64" s="127"/>
      <c r="B64" s="127" t="s">
        <v>305</v>
      </c>
      <c r="C64" s="126"/>
      <c r="D64" s="126" t="s">
        <v>304</v>
      </c>
    </row>
  </sheetData>
  <mergeCells count="8">
    <mergeCell ref="A52:B52"/>
    <mergeCell ref="A60:B60"/>
    <mergeCell ref="A1:D1"/>
    <mergeCell ref="A3:B3"/>
    <mergeCell ref="A15:B15"/>
    <mergeCell ref="A22:B22"/>
    <mergeCell ref="A33:B33"/>
    <mergeCell ref="A47:B47"/>
  </mergeCells>
  <pageMargins left="0.7" right="0.7" top="0.75" bottom="0.75" header="0.3" footer="0.3"/>
  <pageSetup paperSize="9"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6"/>
  <sheetViews>
    <sheetView showGridLines="0" zoomScaleNormal="100" workbookViewId="0">
      <selection activeCell="I16" sqref="I16"/>
    </sheetView>
  </sheetViews>
  <sheetFormatPr defaultColWidth="8.88671875" defaultRowHeight="15" customHeight="1" x14ac:dyDescent="0.3"/>
  <cols>
    <col min="1" max="1" width="8.88671875" style="9"/>
    <col min="2" max="2" width="95.109375" style="32" customWidth="1"/>
    <col min="3" max="16384" width="8.88671875" style="32"/>
  </cols>
  <sheetData>
    <row r="1" spans="1:2" ht="60" customHeight="1" x14ac:dyDescent="0.3">
      <c r="A1" s="9" t="s">
        <v>294</v>
      </c>
    </row>
    <row r="2" spans="1:2" s="33" customFormat="1" ht="15" customHeight="1" x14ac:dyDescent="0.45">
      <c r="A2" s="9" t="s">
        <v>295</v>
      </c>
      <c r="B2" s="32"/>
    </row>
    <row r="3" spans="1:2" s="33" customFormat="1" ht="15" customHeight="1" x14ac:dyDescent="0.45">
      <c r="A3" s="9" t="s">
        <v>296</v>
      </c>
      <c r="B3" s="32"/>
    </row>
    <row r="4" spans="1:2" s="34" customFormat="1" ht="15" customHeight="1" x14ac:dyDescent="0.75">
      <c r="A4" s="9" t="s">
        <v>297</v>
      </c>
      <c r="B4" s="32"/>
    </row>
    <row r="5" spans="1:2" s="35" customFormat="1" ht="15" customHeight="1" x14ac:dyDescent="0.3">
      <c r="A5" s="36" t="s">
        <v>298</v>
      </c>
      <c r="B5" s="32"/>
    </row>
    <row r="6" spans="1:2" s="35" customFormat="1" ht="15" customHeight="1" x14ac:dyDescent="0.3">
      <c r="A6" s="9"/>
      <c r="B6" s="32"/>
    </row>
  </sheetData>
  <hyperlinks>
    <hyperlink ref="A4" r:id="rId1" tooltip="Selecione para saber mais sobre a Comunidade" display="http://go.microsoft.com/fwlink/?LinkId=844969" xr:uid="{00000000-0004-0000-0C00-000001000000}"/>
    <hyperlink ref="A5" r:id="rId2" tooltip="Selecione para conhecer mais novidades" display="http://go.microsoft.com/fwlink/?LinkId=846286" xr:uid="{00000000-0004-0000-0C00-000002000000}"/>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Folhas de Cálculo</vt:lpstr>
      </vt:variant>
      <vt:variant>
        <vt:i4>15</vt:i4>
      </vt:variant>
      <vt:variant>
        <vt:lpstr>Intervalos com Nome</vt:lpstr>
      </vt:variant>
      <vt:variant>
        <vt:i4>18</vt:i4>
      </vt:variant>
    </vt:vector>
  </HeadingPairs>
  <TitlesOfParts>
    <vt:vector size="33" baseType="lpstr">
      <vt:lpstr>Início</vt:lpstr>
      <vt:lpstr>Referências</vt:lpstr>
      <vt:lpstr>Noções Básicas</vt:lpstr>
      <vt:lpstr>Introdução às Funções</vt:lpstr>
      <vt:lpstr>MÉDIA</vt:lpstr>
      <vt:lpstr>MÍNIMO E MÁXIMO</vt:lpstr>
      <vt:lpstr>Data e Hora</vt:lpstr>
      <vt:lpstr>Unir texto e números</vt:lpstr>
      <vt:lpstr>Instruções SE</vt:lpstr>
      <vt:lpstr>PROCV</vt:lpstr>
      <vt:lpstr>Funções Condicionais</vt:lpstr>
      <vt:lpstr>Assistente de Funções</vt:lpstr>
      <vt:lpstr>Erros em Fórmulas</vt:lpstr>
      <vt:lpstr>Resumo Funções</vt:lpstr>
      <vt:lpstr>Saiba mais</vt:lpstr>
      <vt:lpstr>'Erros em Fórmulas'!Área_de_Impressão</vt:lpstr>
      <vt:lpstr>'Funções Condicionais'!Área_de_Impressão</vt:lpstr>
      <vt:lpstr>'Noções Básicas'!Área_de_Impressão</vt:lpstr>
      <vt:lpstr>Bananas</vt:lpstr>
      <vt:lpstr>'Introdução às Funções'!Carne</vt:lpstr>
      <vt:lpstr>'Funções Condicionais'!Extrair</vt:lpstr>
      <vt:lpstr>'Introdução às Funções'!Fruta</vt:lpstr>
      <vt:lpstr>'Introdução às Funções'!Itens</vt:lpstr>
      <vt:lpstr>Laranjas</vt:lpstr>
      <vt:lpstr>Limões</vt:lpstr>
      <vt:lpstr>lst_Fruta</vt:lpstr>
      <vt:lpstr>lst_VariedadeDeFruta</vt:lpstr>
      <vt:lpstr>Maçãs</vt:lpstr>
      <vt:lpstr>'Introdução às Funções'!MaisFruta</vt:lpstr>
      <vt:lpstr>'Introdução às Funções'!MaisItens</vt:lpstr>
      <vt:lpstr>'Introdução às Funções'!PontosExtra</vt:lpstr>
      <vt:lpstr>'Introdução às Funções'!SOMAPontosExtra</vt:lpstr>
      <vt:lpstr>'Introdução às Funções'!Total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2019-06-19T15:26:14Z</dcterms:created>
  <dcterms:modified xsi:type="dcterms:W3CDTF">2025-10-27T10:55:44Z</dcterms:modified>
  <cp:category/>
  <cp:contentStatus/>
</cp:coreProperties>
</file>